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etition_tiers" sheetId="1" state="visible" r:id="rId3"/>
    <sheet name="domain_weights" sheetId="2" state="visible" r:id="rId4"/>
    <sheet name="assessment_domains" sheetId="3" state="visible" r:id="rId5"/>
    <sheet name="engine_constants" sheetId="4" state="visible" r:id="rId6"/>
    <sheet name="eligibility_rules" sheetId="5" state="visible" r:id="rId7"/>
    <sheet name="vccl_regions" sheetId="6" state="visible" r:id="rId8"/>
    <sheet name="vmcu_associations" sheetId="7" state="visible" r:id="rId9"/>
  </sheets>
  <definedNames>
    <definedName function="false" hidden="true" localSheetId="2" name="_xlnm._FilterDatabase" vbProcedure="false">assessment_domains!$A$4:$G$11</definedName>
    <definedName function="false" hidden="true" localSheetId="0" name="_xlnm._FilterDatabase" vbProcedure="false">competition_tiers!$A$4:$N$99</definedName>
    <definedName function="false" hidden="true" localSheetId="1" name="_xlnm._FilterDatabase" vbProcedure="false">domain_weights!$A$4:$H$9</definedName>
    <definedName function="false" hidden="true" localSheetId="4" name="_xlnm._FilterDatabase" vbProcedure="false">eligibility_rules!$A$4:$E$12</definedName>
    <definedName function="false" hidden="true" localSheetId="3" name="_xlnm._FilterDatabase" vbProcedure="false">engine_constants!$A$4:$F$15</definedName>
    <definedName function="false" hidden="true" localSheetId="5" name="_xlnm._FilterDatabase" vbProcedure="false">vccl_regions!$A$4:$E$12</definedName>
    <definedName function="false" hidden="true" localSheetId="6" name="_xlnm._FilterDatabase" vbProcedure="false">vmcu_associations!$A$4:$E$23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<sst xmlns="http://schemas.openxmlformats.org/spreadsheetml/2006/main" count="1138" uniqueCount="530">
  <si>
    <t xml:space="preserve">TABLE: competition_tiers</t>
  </si>
  <si>
    <t xml:space="preserve">Supabase table: competition_tiers  |  PRIMARY KEY: code  |  Source of truth for Layer 1 CTI lookup</t>
  </si>
  <si>
    <t xml:space="preserve">code</t>
  </si>
  <si>
    <t xml:space="preserve">tier</t>
  </si>
  <si>
    <t xml:space="preserve">competition_name</t>
  </si>
  <si>
    <t xml:space="preserve">shield_name</t>
  </si>
  <si>
    <t xml:space="preserve">gender</t>
  </si>
  <si>
    <t xml:space="preserve">age_group</t>
  </si>
  <si>
    <t xml:space="preserve">metro_country</t>
  </si>
  <si>
    <t xml:space="preserve">surface</t>
  </si>
  <si>
    <t xml:space="preserve">format</t>
  </si>
  <si>
    <t xml:space="preserve">expected_midpoint_age</t>
  </si>
  <si>
    <t xml:space="preserve">cti_value</t>
  </si>
  <si>
    <t xml:space="preserve">arm_sensitivity</t>
  </si>
  <si>
    <t xml:space="preserve">active</t>
  </si>
  <si>
    <t xml:space="preserve">notes</t>
  </si>
  <si>
    <t xml:space="preserve">CA-M</t>
  </si>
  <si>
    <t xml:space="preserve">NATIONAL</t>
  </si>
  <si>
    <t xml:space="preserve">Australian Men's Team</t>
  </si>
  <si>
    <t xml:space="preserve">M</t>
  </si>
  <si>
    <t xml:space="preserve">Open</t>
  </si>
  <si>
    <t xml:space="preserve">N/A</t>
  </si>
  <si>
    <t xml:space="preserve">Turf</t>
  </si>
  <si>
    <t xml:space="preserve">All</t>
  </si>
  <si>
    <t xml:space="preserve">Absolute ceiling</t>
  </si>
  <si>
    <t xml:space="preserve">CA-F</t>
  </si>
  <si>
    <t xml:space="preserve">Australian Women's Team</t>
  </si>
  <si>
    <t xml:space="preserve">F</t>
  </si>
  <si>
    <t xml:space="preserve">CA-AM</t>
  </si>
  <si>
    <t xml:space="preserve">Australia A — Men's</t>
  </si>
  <si>
    <t xml:space="preserve">Multi</t>
  </si>
  <si>
    <t xml:space="preserve">CA-AF</t>
  </si>
  <si>
    <t xml:space="preserve">Australia A — Women's</t>
  </si>
  <si>
    <t xml:space="preserve">CA-19M</t>
  </si>
  <si>
    <t xml:space="preserve">U19 National Championships — M</t>
  </si>
  <si>
    <t xml:space="preserve">U19</t>
  </si>
  <si>
    <t xml:space="preserve">Multi-day+OD</t>
  </si>
  <si>
    <t xml:space="preserve">State teams</t>
  </si>
  <si>
    <t xml:space="preserve">CA-19F</t>
  </si>
  <si>
    <t xml:space="preserve">U19 National Championships — F</t>
  </si>
  <si>
    <t xml:space="preserve">CA-17M</t>
  </si>
  <si>
    <t xml:space="preserve">U17 National Championships</t>
  </si>
  <si>
    <t xml:space="preserve">U17</t>
  </si>
  <si>
    <t xml:space="preserve">Multi-day</t>
  </si>
  <si>
    <t xml:space="preserve">CA-16F</t>
  </si>
  <si>
    <t xml:space="preserve">U16 National Championships</t>
  </si>
  <si>
    <t xml:space="preserve">U16</t>
  </si>
  <si>
    <t xml:space="preserve">CA-ACC</t>
  </si>
  <si>
    <t xml:space="preserve">Australian Country Championships</t>
  </si>
  <si>
    <t xml:space="preserve">M/F</t>
  </si>
  <si>
    <t xml:space="preserve">Country</t>
  </si>
  <si>
    <t xml:space="preserve">OD</t>
  </si>
  <si>
    <t xml:space="preserve">VIC Country rep</t>
  </si>
  <si>
    <t xml:space="preserve">CA-SSA15</t>
  </si>
  <si>
    <t xml:space="preserve">SSA U15 Championships</t>
  </si>
  <si>
    <t xml:space="preserve">Mixed</t>
  </si>
  <si>
    <t xml:space="preserve">U15</t>
  </si>
  <si>
    <t xml:space="preserve">Various</t>
  </si>
  <si>
    <t xml:space="preserve">CA-SSA12</t>
  </si>
  <si>
    <t xml:space="preserve">SSA U12 Championships</t>
  </si>
  <si>
    <t xml:space="preserve">U12</t>
  </si>
  <si>
    <t xml:space="preserve">VIC-SS</t>
  </si>
  <si>
    <t xml:space="preserve">STATE</t>
  </si>
  <si>
    <t xml:space="preserve">Sheffield Shield</t>
  </si>
  <si>
    <t xml:space="preserve">State</t>
  </si>
  <si>
    <t xml:space="preserve">4-day FC</t>
  </si>
  <si>
    <t xml:space="preserve">Professional FC</t>
  </si>
  <si>
    <t xml:space="preserve">VIC-OD</t>
  </si>
  <si>
    <t xml:space="preserve">Marsh One-Day Cup</t>
  </si>
  <si>
    <t xml:space="preserve">OD 50-over</t>
  </si>
  <si>
    <t xml:space="preserve">VIC-BBL</t>
  </si>
  <si>
    <t xml:space="preserve">BBL (Stars / Renegades)</t>
  </si>
  <si>
    <t xml:space="preserve">T20</t>
  </si>
  <si>
    <t xml:space="preserve">Professional T20</t>
  </si>
  <si>
    <t xml:space="preserve">VIC-WNCL</t>
  </si>
  <si>
    <t xml:space="preserve">WNCL</t>
  </si>
  <si>
    <t xml:space="preserve">VIC-WBBL</t>
  </si>
  <si>
    <t xml:space="preserve">WBBL (Stars / Renegades)</t>
  </si>
  <si>
    <t xml:space="preserve">VIC-2XI</t>
  </si>
  <si>
    <t xml:space="preserve">Victorian 2nd XI</t>
  </si>
  <si>
    <t xml:space="preserve">VP-19M</t>
  </si>
  <si>
    <t xml:space="preserve">STATE_PATHWAY</t>
  </si>
  <si>
    <t xml:space="preserve">VIC U19 Emerging (Metro)</t>
  </si>
  <si>
    <t xml:space="preserve">Metro</t>
  </si>
  <si>
    <t xml:space="preserve">CV selection</t>
  </si>
  <si>
    <t xml:space="preserve">VP-19MC</t>
  </si>
  <si>
    <t xml:space="preserve">VIC U19 Emerging (Country)</t>
  </si>
  <si>
    <t xml:space="preserve">VP-17M</t>
  </si>
  <si>
    <t xml:space="preserve">VIC U17 Emerging (Metro)</t>
  </si>
  <si>
    <t xml:space="preserve">VP-17MC</t>
  </si>
  <si>
    <t xml:space="preserve">VIC U17 Emerging (Country)</t>
  </si>
  <si>
    <t xml:space="preserve">VP-19F</t>
  </si>
  <si>
    <t xml:space="preserve">VIC U19 Female Emerging</t>
  </si>
  <si>
    <t xml:space="preserve">Both</t>
  </si>
  <si>
    <t xml:space="preserve">VP-16F</t>
  </si>
  <si>
    <t xml:space="preserve">VIC U16 Female Emerging</t>
  </si>
  <si>
    <t xml:space="preserve">VP-CC16M</t>
  </si>
  <si>
    <t xml:space="preserve">Country Cup — U16 Male</t>
  </si>
  <si>
    <t xml:space="preserve">VCCL regions</t>
  </si>
  <si>
    <t xml:space="preserve">VP-CC15F</t>
  </si>
  <si>
    <t xml:space="preserve">Country Cup — U15 Female</t>
  </si>
  <si>
    <t xml:space="preserve">P1M</t>
  </si>
  <si>
    <t xml:space="preserve">PREMIER</t>
  </si>
  <si>
    <t xml:space="preserve">Premier Cricket 1st XI — Men's</t>
  </si>
  <si>
    <t xml:space="preserve">2-day/OD/T20</t>
  </si>
  <si>
    <t xml:space="preserve">BENCHMARK CEILING — 18 clubs</t>
  </si>
  <si>
    <t xml:space="preserve">P2M</t>
  </si>
  <si>
    <t xml:space="preserve">Premier Cricket 2nd XI — Men's</t>
  </si>
  <si>
    <t xml:space="preserve">P3M</t>
  </si>
  <si>
    <t xml:space="preserve">Premier Cricket 3rd XI — Men's</t>
  </si>
  <si>
    <t xml:space="preserve">2-day/OD</t>
  </si>
  <si>
    <t xml:space="preserve">P4M</t>
  </si>
  <si>
    <t xml:space="preserve">Premier Cricket 4th XI — Men's</t>
  </si>
  <si>
    <t xml:space="preserve">P1F</t>
  </si>
  <si>
    <t xml:space="preserve">Premier Cricket 1st XI — Women's</t>
  </si>
  <si>
    <t xml:space="preserve">OD/T20</t>
  </si>
  <si>
    <t xml:space="preserve">10 clubs</t>
  </si>
  <si>
    <t xml:space="preserve">P2F</t>
  </si>
  <si>
    <t xml:space="preserve">Premier Cricket 2nd XI — Women's</t>
  </si>
  <si>
    <t xml:space="preserve">Turf/Synth</t>
  </si>
  <si>
    <t xml:space="preserve">P18M</t>
  </si>
  <si>
    <t xml:space="preserve">PREMIER_UAGE</t>
  </si>
  <si>
    <t xml:space="preserve">Premier U18 — Male</t>
  </si>
  <si>
    <t xml:space="preserve">U18</t>
  </si>
  <si>
    <t xml:space="preserve">Ages 16-17 at 1 Sep</t>
  </si>
  <si>
    <t xml:space="preserve">P18F</t>
  </si>
  <si>
    <t xml:space="preserve">Premier U18 — Female</t>
  </si>
  <si>
    <t xml:space="preserve">Ages 15-17 at 1 Sep</t>
  </si>
  <si>
    <t xml:space="preserve">P16M</t>
  </si>
  <si>
    <t xml:space="preserve">Dowling Shield</t>
  </si>
  <si>
    <t xml:space="preserve">Ages 14-15 at 1 Sep</t>
  </si>
  <si>
    <t xml:space="preserve">P15F</t>
  </si>
  <si>
    <t xml:space="preserve">Marg Jennings Cup</t>
  </si>
  <si>
    <t xml:space="preserve">Ages 12-14 at 1 Sep</t>
  </si>
  <si>
    <t xml:space="preserve">PA</t>
  </si>
  <si>
    <t xml:space="preserve">Premier Academy Only</t>
  </si>
  <si>
    <t xml:space="preserve">Varies</t>
  </si>
  <si>
    <t xml:space="preserve">Training</t>
  </si>
  <si>
    <t xml:space="preserve">No comp matches yet</t>
  </si>
  <si>
    <t xml:space="preserve">SD1</t>
  </si>
  <si>
    <t xml:space="preserve">SUB_DISTRICT</t>
  </si>
  <si>
    <t xml:space="preserve">VSDCA 1st XI</t>
  </si>
  <si>
    <t xml:space="preserve">32 clubs</t>
  </si>
  <si>
    <t xml:space="preserve">SD2</t>
  </si>
  <si>
    <t xml:space="preserve">VSDCA 2nd XI</t>
  </si>
  <si>
    <t xml:space="preserve">SD3</t>
  </si>
  <si>
    <t xml:space="preserve">VSDCA 3rd XI</t>
  </si>
  <si>
    <t xml:space="preserve">SD4</t>
  </si>
  <si>
    <t xml:space="preserve">VSDCA 4th XI</t>
  </si>
  <si>
    <t xml:space="preserve">SD-15</t>
  </si>
  <si>
    <t xml:space="preserve">J.G. Craig Shield</t>
  </si>
  <si>
    <t xml:space="preserve">32 clubs, Jan</t>
  </si>
  <si>
    <t xml:space="preserve">SD-V1</t>
  </si>
  <si>
    <t xml:space="preserve">VTCA Senior Division</t>
  </si>
  <si>
    <t xml:space="preserve">Turner Shield</t>
  </si>
  <si>
    <t xml:space="preserve">Equal tier with VSDCA</t>
  </si>
  <si>
    <t xml:space="preserve">SD-V2</t>
  </si>
  <si>
    <t xml:space="preserve">VTCA Division 1</t>
  </si>
  <si>
    <t xml:space="preserve">SD-V3</t>
  </si>
  <si>
    <t xml:space="preserve">VTCA Division 2+</t>
  </si>
  <si>
    <t xml:space="preserve">CS-1T</t>
  </si>
  <si>
    <t xml:space="preserve">COMMUNITY_SR</t>
  </si>
  <si>
    <t xml:space="preserve">Association 1st XI — Turf</t>
  </si>
  <si>
    <t xml:space="preserve">2-day</t>
  </si>
  <si>
    <t xml:space="preserve">e.g. ECA Dunstan, DDCA 1st</t>
  </si>
  <si>
    <t xml:space="preserve">CS-2T</t>
  </si>
  <si>
    <t xml:space="preserve">Association 2nd XI — Turf</t>
  </si>
  <si>
    <t xml:space="preserve">CS-3T</t>
  </si>
  <si>
    <t xml:space="preserve">Association 3rd-4th XI — Turf</t>
  </si>
  <si>
    <t xml:space="preserve">CS-5T</t>
  </si>
  <si>
    <t xml:space="preserve">Association 5th+ XI — Turf</t>
  </si>
  <si>
    <t xml:space="preserve">Reduced</t>
  </si>
  <si>
    <t xml:space="preserve">CS-1S</t>
  </si>
  <si>
    <t xml:space="preserve">Association 1st XI — Synthetic</t>
  </si>
  <si>
    <t xml:space="preserve">Synthetic</t>
  </si>
  <si>
    <t xml:space="preserve">e.g. ECA Macgibbon</t>
  </si>
  <si>
    <t xml:space="preserve">CS-2S</t>
  </si>
  <si>
    <t xml:space="preserve">Association 2nd XI — Synthetic</t>
  </si>
  <si>
    <t xml:space="preserve">CS-3S</t>
  </si>
  <si>
    <t xml:space="preserve">Association 3rd+ XI — Synthetic</t>
  </si>
  <si>
    <t xml:space="preserve">CS-LOC</t>
  </si>
  <si>
    <t xml:space="preserve">Limited Overs Comp (top grade)</t>
  </si>
  <si>
    <t xml:space="preserve">LOC</t>
  </si>
  <si>
    <t xml:space="preserve">LOC1 strongest</t>
  </si>
  <si>
    <t xml:space="preserve">CS-SUN</t>
  </si>
  <si>
    <t xml:space="preserve">Sunday Turf Grades</t>
  </si>
  <si>
    <t xml:space="preserve">RY-1T</t>
  </si>
  <si>
    <t xml:space="preserve">COUNTRY_SR</t>
  </si>
  <si>
    <t xml:space="preserve">Country Assoc — Premier/1st Turf</t>
  </si>
  <si>
    <t xml:space="preserve">e.g. BDCA Prem, GCA Div1</t>
  </si>
  <si>
    <t xml:space="preserve">RY-2T</t>
  </si>
  <si>
    <t xml:space="preserve">Country Assoc — 2nd Grade Turf</t>
  </si>
  <si>
    <t xml:space="preserve">RY-3T</t>
  </si>
  <si>
    <t xml:space="preserve">Country Assoc — 3rd+ Turf</t>
  </si>
  <si>
    <t xml:space="preserve">RY-1S</t>
  </si>
  <si>
    <t xml:space="preserve">Country Assoc — 1st Synthetic</t>
  </si>
  <si>
    <t xml:space="preserve">RY-2S</t>
  </si>
  <si>
    <t xml:space="preserve">Country Assoc — Lower Synthetic</t>
  </si>
  <si>
    <t xml:space="preserve">RY-1F</t>
  </si>
  <si>
    <t xml:space="preserve">Country Assoc — Women's Top</t>
  </si>
  <si>
    <t xml:space="preserve">RY-CW</t>
  </si>
  <si>
    <t xml:space="preserve">COUNTRY_REP</t>
  </si>
  <si>
    <t xml:space="preserve">VCCL Country Week — Sr Men</t>
  </si>
  <si>
    <t xml:space="preserve">Annual carnival Melb</t>
  </si>
  <si>
    <t xml:space="preserve">RY-CWF</t>
  </si>
  <si>
    <t xml:space="preserve">VCCL Country Week — Sr Women</t>
  </si>
  <si>
    <t xml:space="preserve">RY-JCW</t>
  </si>
  <si>
    <t xml:space="preserve">VCCL Junior Country Week</t>
  </si>
  <si>
    <t xml:space="preserve">U14-U16</t>
  </si>
  <si>
    <t xml:space="preserve">Country equiv of VMCU</t>
  </si>
  <si>
    <t xml:space="preserve">RY-J18</t>
  </si>
  <si>
    <t xml:space="preserve">COUNTRY_JR</t>
  </si>
  <si>
    <t xml:space="preserve">Country Assoc — U18/U17</t>
  </si>
  <si>
    <t xml:space="preserve">U17-U18</t>
  </si>
  <si>
    <t xml:space="preserve">RY-J16</t>
  </si>
  <si>
    <t xml:space="preserve">Country Assoc — U16/U15</t>
  </si>
  <si>
    <t xml:space="preserve">U15-U16</t>
  </si>
  <si>
    <t xml:space="preserve">RY-J14</t>
  </si>
  <si>
    <t xml:space="preserve">Country Assoc — U14/U13</t>
  </si>
  <si>
    <t xml:space="preserve">U13-U14</t>
  </si>
  <si>
    <t xml:space="preserve">RY-J12</t>
  </si>
  <si>
    <t xml:space="preserve">Country Assoc — U12/U11</t>
  </si>
  <si>
    <t xml:space="preserve">U11-U12</t>
  </si>
  <si>
    <t xml:space="preserve">Modified</t>
  </si>
  <si>
    <t xml:space="preserve">CJ-18A</t>
  </si>
  <si>
    <t xml:space="preserve">COMMUNITY_JR</t>
  </si>
  <si>
    <t xml:space="preserve">Association U18 — A Grade</t>
  </si>
  <si>
    <t xml:space="preserve">CJ-18B</t>
  </si>
  <si>
    <t xml:space="preserve">Association U18 — B/C</t>
  </si>
  <si>
    <t xml:space="preserve">CJ-16A</t>
  </si>
  <si>
    <t xml:space="preserve">Association U16 — A Grade</t>
  </si>
  <si>
    <t xml:space="preserve">CJ-16B</t>
  </si>
  <si>
    <t xml:space="preserve">Association U16 — B Grade</t>
  </si>
  <si>
    <t xml:space="preserve">CJ-16C</t>
  </si>
  <si>
    <t xml:space="preserve">Association U16 — C+</t>
  </si>
  <si>
    <t xml:space="preserve">CJ-14A</t>
  </si>
  <si>
    <t xml:space="preserve">Association U14 — A Grade</t>
  </si>
  <si>
    <t xml:space="preserve">U14</t>
  </si>
  <si>
    <t xml:space="preserve">CJ-14B</t>
  </si>
  <si>
    <t xml:space="preserve">Association U14 — B</t>
  </si>
  <si>
    <t xml:space="preserve">CJ-14C</t>
  </si>
  <si>
    <t xml:space="preserve">Association U14 — C+</t>
  </si>
  <si>
    <t xml:space="preserve">CJ-12A</t>
  </si>
  <si>
    <t xml:space="preserve">Association U12 — A Grade</t>
  </si>
  <si>
    <t xml:space="preserve">CJ-12B</t>
  </si>
  <si>
    <t xml:space="preserve">Association U12 — B</t>
  </si>
  <si>
    <t xml:space="preserve">CJ-12C</t>
  </si>
  <si>
    <t xml:space="preserve">Association U12 — C+</t>
  </si>
  <si>
    <t xml:space="preserve">CJ-10</t>
  </si>
  <si>
    <t xml:space="preserve">Association U10</t>
  </si>
  <si>
    <t xml:space="preserve">U10</t>
  </si>
  <si>
    <t xml:space="preserve">CW-1</t>
  </si>
  <si>
    <t xml:space="preserve">COMMUNITY_WG</t>
  </si>
  <si>
    <t xml:space="preserve">Association Sr Women — Top</t>
  </si>
  <si>
    <t xml:space="preserve">CW-S</t>
  </si>
  <si>
    <t xml:space="preserve">Association Sr Women — Social</t>
  </si>
  <si>
    <t xml:space="preserve">CG-1</t>
  </si>
  <si>
    <t xml:space="preserve">Girls Stage 1 (U18)</t>
  </si>
  <si>
    <t xml:space="preserve">CG-2</t>
  </si>
  <si>
    <t xml:space="preserve">Girls Stage 2 (U15)</t>
  </si>
  <si>
    <t xml:space="preserve">CG-3</t>
  </si>
  <si>
    <t xml:space="preserve">Girls Stage 3 (U12)</t>
  </si>
  <si>
    <t xml:space="preserve">REP-17M</t>
  </si>
  <si>
    <t xml:space="preserve">VMCU_REP</t>
  </si>
  <si>
    <t xml:space="preserve">Beitzel Shield (U17)</t>
  </si>
  <si>
    <t xml:space="preserve">Beitzel Shield</t>
  </si>
  <si>
    <t xml:space="preserve">2026 merged</t>
  </si>
  <si>
    <t xml:space="preserve">REP-16M</t>
  </si>
  <si>
    <t xml:space="preserve">Keith Mackay Shield</t>
  </si>
  <si>
    <t xml:space="preserve">REP-14MT</t>
  </si>
  <si>
    <t xml:space="preserve">Russell Allen Shield</t>
  </si>
  <si>
    <t xml:space="preserve">REP-13M</t>
  </si>
  <si>
    <t xml:space="preserve">Des Nolan Cup (U13)</t>
  </si>
  <si>
    <t xml:space="preserve">Des Nolan Cup</t>
  </si>
  <si>
    <t xml:space="preserve">U13</t>
  </si>
  <si>
    <t xml:space="preserve">REP-12M</t>
  </si>
  <si>
    <t xml:space="preserve">Keith Mitchell Shield</t>
  </si>
  <si>
    <t xml:space="preserve">REP-12M2</t>
  </si>
  <si>
    <t xml:space="preserve">Josh Browne Plate</t>
  </si>
  <si>
    <t xml:space="preserve">2nd tier U12</t>
  </si>
  <si>
    <t xml:space="preserve">REP-17F</t>
  </si>
  <si>
    <t xml:space="preserve">Mel Jones Shield</t>
  </si>
  <si>
    <t xml:space="preserve">REP-14F</t>
  </si>
  <si>
    <t xml:space="preserve">Julie Savage Shield</t>
  </si>
  <si>
    <t xml:space="preserve">REP-12F</t>
  </si>
  <si>
    <t xml:space="preserve">Claudia Fatone Shield</t>
  </si>
  <si>
    <t xml:space="preserve">EN-CB</t>
  </si>
  <si>
    <t xml:space="preserve">ENTRY</t>
  </si>
  <si>
    <t xml:space="preserve">Woolworths Cricket Blast</t>
  </si>
  <si>
    <t xml:space="preserve">U7-U12</t>
  </si>
  <si>
    <t xml:space="preserve">Participation</t>
  </si>
  <si>
    <t xml:space="preserve">EN-SC</t>
  </si>
  <si>
    <t xml:space="preserve">School / In2Cricket</t>
  </si>
  <si>
    <t xml:space="preserve">EN-NR</t>
  </si>
  <si>
    <t xml:space="preserve">No Recorded History</t>
  </si>
  <si>
    <t xml:space="preserve">Default for new/unknown</t>
  </si>
  <si>
    <t xml:space="preserve">TABLE: domain_weights</t>
  </si>
  <si>
    <t xml:space="preserve">Supabase table: domain_weights  |  PRIMARY KEY: role_id  |  Weights must sum to 1.00 per role</t>
  </si>
  <si>
    <t xml:space="preserve">role_id</t>
  </si>
  <si>
    <t xml:space="preserve">role_label</t>
  </si>
  <si>
    <t xml:space="preserve">technical_weight</t>
  </si>
  <si>
    <t xml:space="preserve">game_iq_weight</t>
  </si>
  <si>
    <t xml:space="preserve">mental_weight</t>
  </si>
  <si>
    <t xml:space="preserve">physical_weight</t>
  </si>
  <si>
    <t xml:space="preserve">phase_weight</t>
  </si>
  <si>
    <t xml:space="preserve">specialist_batter</t>
  </si>
  <si>
    <t xml:space="preserve">Specialist Batter</t>
  </si>
  <si>
    <t xml:space="preserve">Technical precision primary differentiator</t>
  </si>
  <si>
    <t xml:space="preserve">pace_bowler</t>
  </si>
  <si>
    <t xml:space="preserve">Pace Bowler</t>
  </si>
  <si>
    <t xml:space="preserve">Physical elevated — eccentric strength, GRF</t>
  </si>
  <si>
    <t xml:space="preserve">spin_bowler</t>
  </si>
  <si>
    <t xml:space="preserve">Spin Bowler</t>
  </si>
  <si>
    <t xml:space="preserve">Technical precision for spin</t>
  </si>
  <si>
    <t xml:space="preserve">wicketkeeper_batter</t>
  </si>
  <si>
    <t xml:space="preserve">Wicketkeeper-Batter</t>
  </si>
  <si>
    <t xml:space="preserve">Physical elevated — lateral movement</t>
  </si>
  <si>
    <t xml:space="preserve">batting_allrounder</t>
  </si>
  <si>
    <t xml:space="preserve">Batting All-Rounder</t>
  </si>
  <si>
    <t xml:space="preserve">Dual-discipline demands</t>
  </si>
  <si>
    <t xml:space="preserve">TABLE: assessment_domains</t>
  </si>
  <si>
    <t xml:space="preserve">Supabase table: assessment_domains  |  Maps DNA Report sections to scoring domains  |  Tier 1-2 feed algorithm, Tier 3-4 don't</t>
  </si>
  <si>
    <t xml:space="preserve">domain_id</t>
  </si>
  <si>
    <t xml:space="preserve">domain_name</t>
  </si>
  <si>
    <t xml:space="preserve">data_tier</t>
  </si>
  <si>
    <t xml:space="preserve">source_page</t>
  </si>
  <si>
    <t xml:space="preserve">item_count</t>
  </si>
  <si>
    <t xml:space="preserve">feeds_algorithm</t>
  </si>
  <si>
    <t xml:space="preserve">technical</t>
  </si>
  <si>
    <t xml:space="preserve">Technical Skill</t>
  </si>
  <si>
    <t xml:space="preserve">TIER_1</t>
  </si>
  <si>
    <t xml:space="preserve">Page 3</t>
  </si>
  <si>
    <t xml:space="preserve">10-14</t>
  </si>
  <si>
    <t xml:space="preserve">Primary + Secondary skill ratings (1-5)</t>
  </si>
  <si>
    <t xml:space="preserve">game_iq</t>
  </si>
  <si>
    <t xml:space="preserve">T20 Game Intelligence</t>
  </si>
  <si>
    <t xml:space="preserve">Page 4</t>
  </si>
  <si>
    <t xml:space="preserve">6</t>
  </si>
  <si>
    <t xml:space="preserve">Phase awareness, decision-making</t>
  </si>
  <si>
    <t xml:space="preserve">mental</t>
  </si>
  <si>
    <t xml:space="preserve">Mental Performance</t>
  </si>
  <si>
    <t xml:space="preserve">7</t>
  </si>
  <si>
    <t xml:space="preserve">Courage, curiosity, resilience, coachability</t>
  </si>
  <si>
    <t xml:space="preserve">physical</t>
  </si>
  <si>
    <t xml:space="preserve">Physical / Athletic</t>
  </si>
  <si>
    <t xml:space="preserve">5</t>
  </si>
  <si>
    <t xml:space="preserve">Movement quality, athletic potential</t>
  </si>
  <si>
    <t xml:space="preserve">phase</t>
  </si>
  <si>
    <t xml:space="preserve">Phase Effectiveness</t>
  </si>
  <si>
    <t xml:space="preserve">TIER_2</t>
  </si>
  <si>
    <t xml:space="preserve">Page 2</t>
  </si>
  <si>
    <t xml:space="preserve">3 phases × 2 (bat + bowl) ratings</t>
  </si>
  <si>
    <t xml:space="preserve">archetype</t>
  </si>
  <si>
    <t xml:space="preserve">Archetype Profile</t>
  </si>
  <si>
    <t xml:space="preserve">TIER_3</t>
  </si>
  <si>
    <t xml:space="preserve">Classification only — bat &amp; bowl archetype</t>
  </si>
  <si>
    <t xml:space="preserve">player_voice</t>
  </si>
  <si>
    <t xml:space="preserve">Player Voice</t>
  </si>
  <si>
    <t xml:space="preserve">TIER_4</t>
  </si>
  <si>
    <t xml:space="preserve">Page 5</t>
  </si>
  <si>
    <t xml:space="preserve">Qualitative — IDP narrative only</t>
  </si>
  <si>
    <t xml:space="preserve">TABLE: engine_constants</t>
  </si>
  <si>
    <t xml:space="preserve">Supabase table: engine_constants  |  All configurable system parameters  |  Change = version bump in change_log</t>
  </si>
  <si>
    <t xml:space="preserve">constant_key</t>
  </si>
  <si>
    <t xml:space="preserve">value</t>
  </si>
  <si>
    <t xml:space="preserve">data_type</t>
  </si>
  <si>
    <t xml:space="preserve">owner</t>
  </si>
  <si>
    <t xml:space="preserve">review_cadence</t>
  </si>
  <si>
    <t xml:space="preserve">description</t>
  </si>
  <si>
    <t xml:space="preserve">arm_sensitivity_factor</t>
  </si>
  <si>
    <t xml:space="preserve">float</t>
  </si>
  <si>
    <t xml:space="preserve">Head Coach</t>
  </si>
  <si>
    <t xml:space="preserve">After each intake</t>
  </si>
  <si>
    <t xml:space="preserve">Each year younger = +5% amplification</t>
  </si>
  <si>
    <t xml:space="preserve">arm_floor</t>
  </si>
  <si>
    <t xml:space="preserve">As needed</t>
  </si>
  <si>
    <t xml:space="preserve">Minimum ARM — prevents extreme dampening</t>
  </si>
  <si>
    <t xml:space="preserve">arm_ceiling</t>
  </si>
  <si>
    <t xml:space="preserve">Maximum ARM — prevents extreme inflation</t>
  </si>
  <si>
    <t xml:space="preserve">coach_weight</t>
  </si>
  <si>
    <t xml:space="preserve">Stable</t>
  </si>
  <si>
    <t xml:space="preserve">Coach assessment weight in CSS blend</t>
  </si>
  <si>
    <t xml:space="preserve">player_weight</t>
  </si>
  <si>
    <t xml:space="preserve">Player self-assessment weight in CSS blend</t>
  </si>
  <si>
    <t xml:space="preserve">trajectory_age_threshold</t>
  </si>
  <si>
    <t xml:space="preserve">Annually</t>
  </si>
  <si>
    <t xml:space="preserve">Years below midpoint to trigger flag</t>
  </si>
  <si>
    <t xml:space="preserve">sagi_aligned_min</t>
  </si>
  <si>
    <t xml:space="preserve">SAGI range: aligned self-awareness lower bound</t>
  </si>
  <si>
    <t xml:space="preserve">sagi_aligned_max</t>
  </si>
  <si>
    <t xml:space="preserve">SAGI range: aligned self-awareness upper bound</t>
  </si>
  <si>
    <t xml:space="preserve">pdi_scale_max</t>
  </si>
  <si>
    <t xml:space="preserve">System</t>
  </si>
  <si>
    <t xml:space="preserve">Fixed</t>
  </si>
  <si>
    <t xml:space="preserve">PDI expressed as score out of 5.0</t>
  </si>
  <si>
    <t xml:space="preserve">cohort_size_target</t>
  </si>
  <si>
    <t xml:space="preserve">int</t>
  </si>
  <si>
    <t xml:space="preserve">Program</t>
  </si>
  <si>
    <t xml:space="preserve">Per intake</t>
  </si>
  <si>
    <t xml:space="preserve">Target cohort for normalisation</t>
  </si>
  <si>
    <t xml:space="preserve">benchmark_ceiling_code</t>
  </si>
  <si>
    <t xml:space="preserve">string</t>
  </si>
  <si>
    <t xml:space="preserve">Head Coach + DoT</t>
  </si>
  <si>
    <t xml:space="preserve">Competition code = CTI 1.00</t>
  </si>
  <si>
    <t xml:space="preserve">TABLE: eligibility_rules</t>
  </si>
  <si>
    <t xml:space="preserve">Supabase table: eligibility_rules  |  Pathway exclusion rules — informs data validation on player comp entry</t>
  </si>
  <si>
    <t xml:space="preserve">competition_code</t>
  </si>
  <si>
    <t xml:space="preserve">eligibility</t>
  </si>
  <si>
    <t xml:space="preserve">excluded_from</t>
  </si>
  <si>
    <t xml:space="preserve">source</t>
  </si>
  <si>
    <t xml:space="preserve">14-15 yrs at 1 Sep</t>
  </si>
  <si>
    <t xml:space="preserve">Craig, Beitzel, Mackay, Savage shields</t>
  </si>
  <si>
    <t xml:space="preserve">CV Pathway</t>
  </si>
  <si>
    <t xml:space="preserve">12-14 yrs at 1 Sep</t>
  </si>
  <si>
    <t xml:space="preserve">Premier U18 Male</t>
  </si>
  <si>
    <t xml:space="preserve">16-17 yrs at 1 Sep</t>
  </si>
  <si>
    <t xml:space="preserve">Dowling/Marg Jennings</t>
  </si>
  <si>
    <t xml:space="preserve">Premier U18 Female</t>
  </si>
  <si>
    <t xml:space="preserve">15-17 yrs at 1 Sep</t>
  </si>
  <si>
    <t xml:space="preserve">Under 15</t>
  </si>
  <si>
    <t xml:space="preserve">REP-*</t>
  </si>
  <si>
    <t xml:space="preserve">VMCU Carnival shields</t>
  </si>
  <si>
    <t xml:space="preserve">Per shield age group</t>
  </si>
  <si>
    <t xml:space="preserve">Premier Academy</t>
  </si>
  <si>
    <t xml:space="preserve">Club sets criteria</t>
  </si>
  <si>
    <t xml:space="preserve">Only 1 academy at a time</t>
  </si>
  <si>
    <t xml:space="preserve">VP-CC*</t>
  </si>
  <si>
    <t xml:space="preserve">Country Cup</t>
  </si>
  <si>
    <t xml:space="preserve">U16M/U15F country only</t>
  </si>
  <si>
    <t xml:space="preserve">Not Barwon/SE Sharks regions</t>
  </si>
  <si>
    <t xml:space="preserve">TABLE: vccl_regions</t>
  </si>
  <si>
    <t xml:space="preserve">Supabase table: vccl_regions  |  VCCL country region reference for competition context</t>
  </si>
  <si>
    <t xml:space="preserve">region_code</t>
  </si>
  <si>
    <t xml:space="preserve">region_name</t>
  </si>
  <si>
    <t xml:space="preserve">associations</t>
  </si>
  <si>
    <t xml:space="preserve">linked_premier_club</t>
  </si>
  <si>
    <t xml:space="preserve">has_direct_pathway</t>
  </si>
  <si>
    <t xml:space="preserve">R1</t>
  </si>
  <si>
    <t xml:space="preserve">Barwon Rockets</t>
  </si>
  <si>
    <t xml:space="preserve">Geelong CA, Bellarine Peninsula CA, Colac DCA, South West CA</t>
  </si>
  <si>
    <t xml:space="preserve">Geelong CC</t>
  </si>
  <si>
    <t xml:space="preserve">R2</t>
  </si>
  <si>
    <t xml:space="preserve">Western Waves</t>
  </si>
  <si>
    <t xml:space="preserve">Warrnambool DCA, Hamilton DCA, Portland CA</t>
  </si>
  <si>
    <t xml:space="preserve">R3</t>
  </si>
  <si>
    <t xml:space="preserve">Central Highlands</t>
  </si>
  <si>
    <t xml:space="preserve">Ballarat CA, Buninyong DCA, Hepburn Shire CA, Creswick DCA</t>
  </si>
  <si>
    <t xml:space="preserve">R4</t>
  </si>
  <si>
    <t xml:space="preserve">Mallee Murray Suns</t>
  </si>
  <si>
    <t xml:space="preserve">Mildura CA, Swan Hill CA, Kerang DCA</t>
  </si>
  <si>
    <t xml:space="preserve">R5</t>
  </si>
  <si>
    <t xml:space="preserve">Northern Rivers</t>
  </si>
  <si>
    <t xml:space="preserve">Bendigo DCA, Castlemaine DCA, Campaspe Valley CA, Heathcote DCA</t>
  </si>
  <si>
    <t xml:space="preserve">R6</t>
  </si>
  <si>
    <t xml:space="preserve">North-East Knights</t>
  </si>
  <si>
    <t xml:space="preserve">Albury-Wodonga CA, Benalla DCA, Murray Valley CA, Ovens &amp; Murray CA</t>
  </si>
  <si>
    <t xml:space="preserve">R7</t>
  </si>
  <si>
    <t xml:space="preserve">Gippsland Pride</t>
  </si>
  <si>
    <t xml:space="preserve">Sale-Maffra CA, Cricket Latrobe Valley, Warragul DCA, Bairnsdale CA, Leongatha DCA</t>
  </si>
  <si>
    <t xml:space="preserve">R8</t>
  </si>
  <si>
    <t xml:space="preserve">SE Country Sharks</t>
  </si>
  <si>
    <t xml:space="preserve">Mornington Peninsula CA, Westernport CA, Frankston DCA, Bass Coast CA</t>
  </si>
  <si>
    <t xml:space="preserve">Frankston Peninsula CC</t>
  </si>
  <si>
    <t xml:space="preserve">TABLE: vmcu_associations</t>
  </si>
  <si>
    <t xml:space="preserve">Supabase table: vmcu_associations  |  Metro association reference — feeds dropdown in player comp history</t>
  </si>
  <si>
    <t xml:space="preserve">abbrev</t>
  </si>
  <si>
    <t xml:space="preserve">full_name</t>
  </si>
  <si>
    <t xml:space="preserve">type</t>
  </si>
  <si>
    <t xml:space="preserve">region_notes</t>
  </si>
  <si>
    <t xml:space="preserve">ECA</t>
  </si>
  <si>
    <t xml:space="preserve">Eastern Cricket Association</t>
  </si>
  <si>
    <t xml:space="preserve">Sr+Jr+Girls+Vets</t>
  </si>
  <si>
    <t xml:space="preserve">Turf &amp; Synth</t>
  </si>
  <si>
    <t xml:space="preserve">Inner/Outer East — 50+ clubs</t>
  </si>
  <si>
    <t xml:space="preserve">BHRDCA</t>
  </si>
  <si>
    <t xml:space="preserve">Box Hill Reporter District CA</t>
  </si>
  <si>
    <t xml:space="preserve">Sr+Jr+Girls</t>
  </si>
  <si>
    <t xml:space="preserve">Outer East</t>
  </si>
  <si>
    <t xml:space="preserve">DDCA</t>
  </si>
  <si>
    <t xml:space="preserve">Dandenong District CA</t>
  </si>
  <si>
    <t xml:space="preserve">South East — large, strong turf</t>
  </si>
  <si>
    <t xml:space="preserve">DVCA</t>
  </si>
  <si>
    <t xml:space="preserve">Diamond Valley CA</t>
  </si>
  <si>
    <t xml:space="preserve">North East</t>
  </si>
  <si>
    <t xml:space="preserve">CSB</t>
  </si>
  <si>
    <t xml:space="preserve">Cricket Southern Bayside</t>
  </si>
  <si>
    <t xml:space="preserve">Bayside</t>
  </si>
  <si>
    <t xml:space="preserve">FTGDCA</t>
  </si>
  <si>
    <t xml:space="preserve">Ferntree Gully &amp; District CA</t>
  </si>
  <si>
    <t xml:space="preserve">MPCA</t>
  </si>
  <si>
    <t xml:space="preserve">Mornington Peninsula CA</t>
  </si>
  <si>
    <t xml:space="preserve">Peninsula</t>
  </si>
  <si>
    <t xml:space="preserve">NMCA</t>
  </si>
  <si>
    <t xml:space="preserve">North Metro CA</t>
  </si>
  <si>
    <t xml:space="preserve">Sr+Jr</t>
  </si>
  <si>
    <t xml:space="preserve">Northern suburbs</t>
  </si>
  <si>
    <t xml:space="preserve">NWMCA</t>
  </si>
  <si>
    <t xml:space="preserve">North West Metro CA</t>
  </si>
  <si>
    <t xml:space="preserve">NW suburbs</t>
  </si>
  <si>
    <t xml:space="preserve">RDCA</t>
  </si>
  <si>
    <t xml:space="preserve">Ringwood District CA</t>
  </si>
  <si>
    <t xml:space="preserve">SECA</t>
  </si>
  <si>
    <t xml:space="preserve">South East CA</t>
  </si>
  <si>
    <t xml:space="preserve">Mostly Synth</t>
  </si>
  <si>
    <t xml:space="preserve">SE — 120+ sr, 280+ jr teams</t>
  </si>
  <si>
    <t xml:space="preserve">SCA</t>
  </si>
  <si>
    <t xml:space="preserve">Southern CA</t>
  </si>
  <si>
    <t xml:space="preserve">Southern suburbs</t>
  </si>
  <si>
    <t xml:space="preserve">CSMCA</t>
  </si>
  <si>
    <t xml:space="preserve">Casey South Melbourne CA</t>
  </si>
  <si>
    <t xml:space="preserve">SE growth corridor</t>
  </si>
  <si>
    <t xml:space="preserve">YVCA</t>
  </si>
  <si>
    <t xml:space="preserve">Yarra Valley CA</t>
  </si>
  <si>
    <t xml:space="preserve">Outer East semi-regional</t>
  </si>
  <si>
    <t xml:space="preserve">WDCA</t>
  </si>
  <si>
    <t xml:space="preserve">Williamstown &amp; Districts CA</t>
  </si>
  <si>
    <t xml:space="preserve">Western suburbs</t>
  </si>
  <si>
    <t xml:space="preserve">WRJCA</t>
  </si>
  <si>
    <t xml:space="preserve">Western Region Junior CA</t>
  </si>
  <si>
    <t xml:space="preserve">Junior only</t>
  </si>
  <si>
    <t xml:space="preserve">MCA</t>
  </si>
  <si>
    <t xml:space="preserve">Melbourne CA</t>
  </si>
  <si>
    <t xml:space="preserve">Senior</t>
  </si>
  <si>
    <t xml:space="preserve">Inner Melbourne</t>
  </si>
  <si>
    <t xml:space="preserve">VTCA</t>
  </si>
  <si>
    <t xml:space="preserve">Victorian Turf CA</t>
  </si>
  <si>
    <t xml:space="preserve">Metro-wide turf — Turner Shield</t>
  </si>
  <si>
    <t xml:space="preserve">Mercantile</t>
  </si>
  <si>
    <t xml:space="preserve">Mercantile CA</t>
  </si>
  <si>
    <t xml:space="preserve">Midweek format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</si>
</sst>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1D48"/>
      <name val="Arial"/>
      <family val="0"/>
      <charset val="1"/>
    </font>
    <font>
      <sz val="9"/>
      <color rgb="FF4A4A6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E11F8F"/>
      <name val="Arial"/>
      <family val="0"/>
      <charset val="1"/>
    </font>
    <font>
      <sz val="9"/>
      <color rgb="FF1A1A2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1D48"/>
        <bgColor rgb="FF1A1A2E"/>
      </patternFill>
    </fill>
    <fill>
      <patternFill patternType="solid">
        <fgColor rgb="FFF2F4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4DC"/>
      </left>
      <right style="thin">
        <color rgb="FFD0D4DC"/>
      </right>
      <top style="thin">
        <color rgb="FFD0D4DC"/>
      </top>
      <bottom style="thin">
        <color rgb="FFD0D4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01D48"/>
          <bgColor rgb="FF000000"/>
        </patternFill>
      </fill>
    </dxf>
    <dxf>
      <fill>
        <patternFill patternType="solid">
          <fgColor rgb="FFF2F4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11F8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1A2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E11F8F"/>
      <rgbColor rgb="FFF2F4F8"/>
      <rgbColor rgb="FFCCFFFF"/>
      <rgbColor rgb="FF660066"/>
      <rgbColor rgb="FFFF8080"/>
      <rgbColor rgb="FF0066CC"/>
      <rgbColor rgb="FFD0D4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1D48"/>
      <rgbColor rgb="FF339966"/>
      <rgbColor rgb="FF003300"/>
      <rgbColor rgb="FF333300"/>
      <rgbColor rgb="FF993300"/>
      <rgbColor rgb="FF993366"/>
      <rgbColor rgb="FF4A4A6A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2" min="11" style="0" width="8"/>
    <col collapsed="false" customWidth="true" hidden="false" outlineLevel="0" max="13" min="13" style="0" width="6"/>
    <col collapsed="false" customWidth="true" hidden="false" outlineLevel="0" max="14" min="14" style="0" width="3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43.2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5" t="s">
        <v>17</v>
      </c>
      <c r="C5" s="5" t="s">
        <v>18</v>
      </c>
      <c r="D5" s="5"/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n">
        <v>28</v>
      </c>
      <c r="K5" s="5" t="n">
        <v>1</v>
      </c>
      <c r="L5" s="5" t="n">
        <v>0.05</v>
      </c>
      <c r="M5" s="6" t="b">
        <f aca="false">TRUE()</f>
        <v>1</v>
      </c>
      <c r="N5" s="5" t="s">
        <v>24</v>
      </c>
    </row>
    <row r="6" customFormat="false" ht="15" hidden="false" customHeight="false" outlineLevel="0" collapsed="false">
      <c r="A6" s="7" t="s">
        <v>25</v>
      </c>
      <c r="B6" s="8" t="s">
        <v>17</v>
      </c>
      <c r="C6" s="8" t="s">
        <v>26</v>
      </c>
      <c r="D6" s="8"/>
      <c r="E6" s="8" t="s">
        <v>27</v>
      </c>
      <c r="F6" s="8" t="s">
        <v>20</v>
      </c>
      <c r="G6" s="8" t="s">
        <v>21</v>
      </c>
      <c r="H6" s="8" t="s">
        <v>22</v>
      </c>
      <c r="I6" s="8" t="s">
        <v>23</v>
      </c>
      <c r="J6" s="8" t="n">
        <v>26</v>
      </c>
      <c r="K6" s="8" t="n">
        <v>1</v>
      </c>
      <c r="L6" s="8" t="n">
        <v>0.05</v>
      </c>
      <c r="M6" s="9" t="b">
        <f aca="false">TRUE()</f>
        <v>1</v>
      </c>
      <c r="N6" s="8"/>
    </row>
    <row r="7" customFormat="false" ht="15" hidden="false" customHeight="false" outlineLevel="0" collapsed="false">
      <c r="A7" s="4" t="s">
        <v>28</v>
      </c>
      <c r="B7" s="5" t="s">
        <v>17</v>
      </c>
      <c r="C7" s="5" t="s">
        <v>29</v>
      </c>
      <c r="D7" s="5"/>
      <c r="E7" s="5" t="s">
        <v>19</v>
      </c>
      <c r="F7" s="5" t="s">
        <v>20</v>
      </c>
      <c r="G7" s="5" t="s">
        <v>21</v>
      </c>
      <c r="H7" s="5" t="s">
        <v>22</v>
      </c>
      <c r="I7" s="5" t="s">
        <v>30</v>
      </c>
      <c r="J7" s="5" t="n">
        <v>24</v>
      </c>
      <c r="K7" s="5" t="n">
        <v>0.97</v>
      </c>
      <c r="L7" s="5" t="n">
        <v>0.05</v>
      </c>
      <c r="M7" s="6" t="b">
        <f aca="false">TRUE()</f>
        <v>1</v>
      </c>
      <c r="N7" s="5"/>
    </row>
    <row r="8" customFormat="false" ht="15" hidden="false" customHeight="false" outlineLevel="0" collapsed="false">
      <c r="A8" s="7" t="s">
        <v>31</v>
      </c>
      <c r="B8" s="8" t="s">
        <v>17</v>
      </c>
      <c r="C8" s="8" t="s">
        <v>32</v>
      </c>
      <c r="D8" s="8"/>
      <c r="E8" s="8" t="s">
        <v>27</v>
      </c>
      <c r="F8" s="8" t="s">
        <v>20</v>
      </c>
      <c r="G8" s="8" t="s">
        <v>21</v>
      </c>
      <c r="H8" s="8" t="s">
        <v>22</v>
      </c>
      <c r="I8" s="8" t="s">
        <v>30</v>
      </c>
      <c r="J8" s="8" t="n">
        <v>23</v>
      </c>
      <c r="K8" s="8" t="n">
        <v>0.97</v>
      </c>
      <c r="L8" s="8" t="n">
        <v>0.05</v>
      </c>
      <c r="M8" s="9" t="b">
        <f aca="false">TRUE()</f>
        <v>1</v>
      </c>
      <c r="N8" s="8"/>
    </row>
    <row r="9" customFormat="false" ht="15" hidden="false" customHeight="false" outlineLevel="0" collapsed="false">
      <c r="A9" s="4" t="s">
        <v>33</v>
      </c>
      <c r="B9" s="5" t="s">
        <v>17</v>
      </c>
      <c r="C9" s="5" t="s">
        <v>34</v>
      </c>
      <c r="D9" s="5"/>
      <c r="E9" s="5" t="s">
        <v>19</v>
      </c>
      <c r="F9" s="5" t="s">
        <v>35</v>
      </c>
      <c r="G9" s="5" t="s">
        <v>21</v>
      </c>
      <c r="H9" s="5" t="s">
        <v>22</v>
      </c>
      <c r="I9" s="5" t="s">
        <v>36</v>
      </c>
      <c r="J9" s="5" t="n">
        <v>18</v>
      </c>
      <c r="K9" s="5" t="n">
        <v>0.9</v>
      </c>
      <c r="L9" s="5" t="n">
        <v>0.05</v>
      </c>
      <c r="M9" s="6" t="b">
        <f aca="false">TRUE()</f>
        <v>1</v>
      </c>
      <c r="N9" s="5" t="s">
        <v>37</v>
      </c>
    </row>
    <row r="10" customFormat="false" ht="15" hidden="false" customHeight="false" outlineLevel="0" collapsed="false">
      <c r="A10" s="7" t="s">
        <v>38</v>
      </c>
      <c r="B10" s="8" t="s">
        <v>17</v>
      </c>
      <c r="C10" s="8" t="s">
        <v>39</v>
      </c>
      <c r="D10" s="8"/>
      <c r="E10" s="8" t="s">
        <v>27</v>
      </c>
      <c r="F10" s="8" t="s">
        <v>35</v>
      </c>
      <c r="G10" s="8" t="s">
        <v>21</v>
      </c>
      <c r="H10" s="8" t="s">
        <v>22</v>
      </c>
      <c r="I10" s="8" t="s">
        <v>36</v>
      </c>
      <c r="J10" s="8" t="n">
        <v>17.5</v>
      </c>
      <c r="K10" s="8" t="n">
        <v>0.9</v>
      </c>
      <c r="L10" s="8" t="n">
        <v>0.05</v>
      </c>
      <c r="M10" s="9" t="b">
        <f aca="false">TRUE()</f>
        <v>1</v>
      </c>
      <c r="N10" s="8"/>
    </row>
    <row r="11" customFormat="false" ht="15" hidden="false" customHeight="false" outlineLevel="0" collapsed="false">
      <c r="A11" s="4" t="s">
        <v>40</v>
      </c>
      <c r="B11" s="5" t="s">
        <v>17</v>
      </c>
      <c r="C11" s="5" t="s">
        <v>41</v>
      </c>
      <c r="D11" s="5"/>
      <c r="E11" s="5" t="s">
        <v>19</v>
      </c>
      <c r="F11" s="5" t="s">
        <v>42</v>
      </c>
      <c r="G11" s="5" t="s">
        <v>21</v>
      </c>
      <c r="H11" s="5" t="s">
        <v>22</v>
      </c>
      <c r="I11" s="5" t="s">
        <v>43</v>
      </c>
      <c r="J11" s="5" t="n">
        <v>16</v>
      </c>
      <c r="K11" s="5" t="n">
        <v>0.85</v>
      </c>
      <c r="L11" s="5" t="n">
        <v>0.05</v>
      </c>
      <c r="M11" s="6" t="b">
        <f aca="false">TRUE()</f>
        <v>1</v>
      </c>
      <c r="N11" s="5"/>
    </row>
    <row r="12" customFormat="false" ht="15" hidden="false" customHeight="false" outlineLevel="0" collapsed="false">
      <c r="A12" s="7" t="s">
        <v>44</v>
      </c>
      <c r="B12" s="8" t="s">
        <v>17</v>
      </c>
      <c r="C12" s="8" t="s">
        <v>45</v>
      </c>
      <c r="D12" s="8"/>
      <c r="E12" s="8" t="s">
        <v>27</v>
      </c>
      <c r="F12" s="8" t="s">
        <v>46</v>
      </c>
      <c r="G12" s="8" t="s">
        <v>21</v>
      </c>
      <c r="H12" s="8" t="s">
        <v>22</v>
      </c>
      <c r="I12" s="8" t="s">
        <v>30</v>
      </c>
      <c r="J12" s="8" t="n">
        <v>15</v>
      </c>
      <c r="K12" s="8" t="n">
        <v>0.85</v>
      </c>
      <c r="L12" s="8" t="n">
        <v>0.05</v>
      </c>
      <c r="M12" s="9" t="b">
        <f aca="false">TRUE()</f>
        <v>1</v>
      </c>
      <c r="N12" s="8"/>
    </row>
    <row r="13" customFormat="false" ht="15" hidden="false" customHeight="false" outlineLevel="0" collapsed="false">
      <c r="A13" s="4" t="s">
        <v>47</v>
      </c>
      <c r="B13" s="5" t="s">
        <v>17</v>
      </c>
      <c r="C13" s="5" t="s">
        <v>48</v>
      </c>
      <c r="D13" s="5"/>
      <c r="E13" s="5" t="s">
        <v>49</v>
      </c>
      <c r="F13" s="5" t="s">
        <v>20</v>
      </c>
      <c r="G13" s="5" t="s">
        <v>50</v>
      </c>
      <c r="H13" s="5" t="s">
        <v>22</v>
      </c>
      <c r="I13" s="5" t="s">
        <v>51</v>
      </c>
      <c r="J13" s="5" t="n">
        <v>26</v>
      </c>
      <c r="K13" s="5" t="n">
        <v>0.75</v>
      </c>
      <c r="L13" s="5" t="n">
        <v>0.05</v>
      </c>
      <c r="M13" s="6" t="b">
        <f aca="false">TRUE()</f>
        <v>1</v>
      </c>
      <c r="N13" s="5" t="s">
        <v>52</v>
      </c>
    </row>
    <row r="14" customFormat="false" ht="15" hidden="false" customHeight="false" outlineLevel="0" collapsed="false">
      <c r="A14" s="7" t="s">
        <v>53</v>
      </c>
      <c r="B14" s="8" t="s">
        <v>17</v>
      </c>
      <c r="C14" s="8" t="s">
        <v>54</v>
      </c>
      <c r="D14" s="8"/>
      <c r="E14" s="8" t="s">
        <v>55</v>
      </c>
      <c r="F14" s="8" t="s">
        <v>56</v>
      </c>
      <c r="G14" s="8" t="s">
        <v>21</v>
      </c>
      <c r="H14" s="8" t="s">
        <v>57</v>
      </c>
      <c r="I14" s="8" t="s">
        <v>51</v>
      </c>
      <c r="J14" s="8" t="n">
        <v>14</v>
      </c>
      <c r="K14" s="8" t="n">
        <v>0.7</v>
      </c>
      <c r="L14" s="8" t="n">
        <v>0.05</v>
      </c>
      <c r="M14" s="9" t="b">
        <f aca="false">TRUE()</f>
        <v>1</v>
      </c>
      <c r="N14" s="8"/>
    </row>
    <row r="15" customFormat="false" ht="15" hidden="false" customHeight="false" outlineLevel="0" collapsed="false">
      <c r="A15" s="4" t="s">
        <v>58</v>
      </c>
      <c r="B15" s="5" t="s">
        <v>17</v>
      </c>
      <c r="C15" s="5" t="s">
        <v>59</v>
      </c>
      <c r="D15" s="5"/>
      <c r="E15" s="5" t="s">
        <v>55</v>
      </c>
      <c r="F15" s="5" t="s">
        <v>60</v>
      </c>
      <c r="G15" s="5" t="s">
        <v>21</v>
      </c>
      <c r="H15" s="5" t="s">
        <v>57</v>
      </c>
      <c r="I15" s="5" t="s">
        <v>51</v>
      </c>
      <c r="J15" s="5" t="n">
        <v>11.5</v>
      </c>
      <c r="K15" s="5" t="n">
        <v>0.6</v>
      </c>
      <c r="L15" s="5" t="n">
        <v>0.05</v>
      </c>
      <c r="M15" s="6" t="b">
        <f aca="false">TRUE()</f>
        <v>1</v>
      </c>
      <c r="N15" s="5"/>
    </row>
    <row r="16" customFormat="false" ht="15" hidden="false" customHeight="false" outlineLevel="0" collapsed="false">
      <c r="A16" s="7" t="s">
        <v>61</v>
      </c>
      <c r="B16" s="8" t="s">
        <v>62</v>
      </c>
      <c r="C16" s="8" t="s">
        <v>63</v>
      </c>
      <c r="D16" s="8"/>
      <c r="E16" s="8" t="s">
        <v>19</v>
      </c>
      <c r="F16" s="8" t="s">
        <v>20</v>
      </c>
      <c r="G16" s="8" t="s">
        <v>64</v>
      </c>
      <c r="H16" s="8" t="s">
        <v>22</v>
      </c>
      <c r="I16" s="8" t="s">
        <v>65</v>
      </c>
      <c r="J16" s="8" t="n">
        <v>27</v>
      </c>
      <c r="K16" s="8" t="n">
        <v>0.98</v>
      </c>
      <c r="L16" s="8" t="n">
        <v>0.05</v>
      </c>
      <c r="M16" s="9" t="b">
        <f aca="false">TRUE()</f>
        <v>1</v>
      </c>
      <c r="N16" s="8" t="s">
        <v>66</v>
      </c>
    </row>
    <row r="17" customFormat="false" ht="15" hidden="false" customHeight="false" outlineLevel="0" collapsed="false">
      <c r="A17" s="4" t="s">
        <v>67</v>
      </c>
      <c r="B17" s="5" t="s">
        <v>62</v>
      </c>
      <c r="C17" s="5" t="s">
        <v>68</v>
      </c>
      <c r="D17" s="5"/>
      <c r="E17" s="5" t="s">
        <v>19</v>
      </c>
      <c r="F17" s="5" t="s">
        <v>20</v>
      </c>
      <c r="G17" s="5" t="s">
        <v>64</v>
      </c>
      <c r="H17" s="5" t="s">
        <v>22</v>
      </c>
      <c r="I17" s="5" t="s">
        <v>69</v>
      </c>
      <c r="J17" s="5" t="n">
        <v>27</v>
      </c>
      <c r="K17" s="5" t="n">
        <v>0.93</v>
      </c>
      <c r="L17" s="5" t="n">
        <v>0.05</v>
      </c>
      <c r="M17" s="6" t="b">
        <f aca="false">TRUE()</f>
        <v>1</v>
      </c>
      <c r="N17" s="5"/>
    </row>
    <row r="18" customFormat="false" ht="15" hidden="false" customHeight="false" outlineLevel="0" collapsed="false">
      <c r="A18" s="7" t="s">
        <v>70</v>
      </c>
      <c r="B18" s="8" t="s">
        <v>62</v>
      </c>
      <c r="C18" s="8" t="s">
        <v>71</v>
      </c>
      <c r="D18" s="8"/>
      <c r="E18" s="8" t="s">
        <v>19</v>
      </c>
      <c r="F18" s="8" t="s">
        <v>20</v>
      </c>
      <c r="G18" s="8" t="s">
        <v>64</v>
      </c>
      <c r="H18" s="8" t="s">
        <v>22</v>
      </c>
      <c r="I18" s="8" t="s">
        <v>72</v>
      </c>
      <c r="J18" s="8" t="n">
        <v>27</v>
      </c>
      <c r="K18" s="8" t="n">
        <v>0.93</v>
      </c>
      <c r="L18" s="8" t="n">
        <v>0.05</v>
      </c>
      <c r="M18" s="9" t="b">
        <f aca="false">TRUE()</f>
        <v>1</v>
      </c>
      <c r="N18" s="8" t="s">
        <v>73</v>
      </c>
    </row>
    <row r="19" customFormat="false" ht="15" hidden="false" customHeight="false" outlineLevel="0" collapsed="false">
      <c r="A19" s="4" t="s">
        <v>74</v>
      </c>
      <c r="B19" s="5" t="s">
        <v>62</v>
      </c>
      <c r="C19" s="5" t="s">
        <v>75</v>
      </c>
      <c r="D19" s="5"/>
      <c r="E19" s="5" t="s">
        <v>27</v>
      </c>
      <c r="F19" s="5" t="s">
        <v>20</v>
      </c>
      <c r="G19" s="5" t="s">
        <v>64</v>
      </c>
      <c r="H19" s="5" t="s">
        <v>22</v>
      </c>
      <c r="I19" s="5" t="s">
        <v>69</v>
      </c>
      <c r="J19" s="5" t="n">
        <v>25</v>
      </c>
      <c r="K19" s="5" t="n">
        <v>0.93</v>
      </c>
      <c r="L19" s="5" t="n">
        <v>0.05</v>
      </c>
      <c r="M19" s="6" t="b">
        <f aca="false">TRUE()</f>
        <v>1</v>
      </c>
      <c r="N19" s="5"/>
    </row>
    <row r="20" customFormat="false" ht="15" hidden="false" customHeight="false" outlineLevel="0" collapsed="false">
      <c r="A20" s="7" t="s">
        <v>76</v>
      </c>
      <c r="B20" s="8" t="s">
        <v>62</v>
      </c>
      <c r="C20" s="8" t="s">
        <v>77</v>
      </c>
      <c r="D20" s="8"/>
      <c r="E20" s="8" t="s">
        <v>27</v>
      </c>
      <c r="F20" s="8" t="s">
        <v>20</v>
      </c>
      <c r="G20" s="8" t="s">
        <v>64</v>
      </c>
      <c r="H20" s="8" t="s">
        <v>22</v>
      </c>
      <c r="I20" s="8" t="s">
        <v>72</v>
      </c>
      <c r="J20" s="8" t="n">
        <v>24</v>
      </c>
      <c r="K20" s="8" t="n">
        <v>0.93</v>
      </c>
      <c r="L20" s="8" t="n">
        <v>0.05</v>
      </c>
      <c r="M20" s="9" t="b">
        <f aca="false">TRUE()</f>
        <v>1</v>
      </c>
      <c r="N20" s="8"/>
    </row>
    <row r="21" customFormat="false" ht="15" hidden="false" customHeight="false" outlineLevel="0" collapsed="false">
      <c r="A21" s="4" t="s">
        <v>78</v>
      </c>
      <c r="B21" s="5" t="s">
        <v>62</v>
      </c>
      <c r="C21" s="5" t="s">
        <v>79</v>
      </c>
      <c r="D21" s="5"/>
      <c r="E21" s="5" t="s">
        <v>19</v>
      </c>
      <c r="F21" s="5" t="s">
        <v>20</v>
      </c>
      <c r="G21" s="5" t="s">
        <v>64</v>
      </c>
      <c r="H21" s="5" t="s">
        <v>22</v>
      </c>
      <c r="I21" s="5" t="s">
        <v>30</v>
      </c>
      <c r="J21" s="5" t="n">
        <v>22</v>
      </c>
      <c r="K21" s="5" t="n">
        <v>0.88</v>
      </c>
      <c r="L21" s="5" t="n">
        <v>0.05</v>
      </c>
      <c r="M21" s="6" t="b">
        <f aca="false">TRUE()</f>
        <v>1</v>
      </c>
      <c r="N21" s="5"/>
    </row>
    <row r="22" customFormat="false" ht="22.35" hidden="false" customHeight="false" outlineLevel="0" collapsed="false">
      <c r="A22" s="7" t="s">
        <v>80</v>
      </c>
      <c r="B22" s="8" t="s">
        <v>81</v>
      </c>
      <c r="C22" s="8" t="s">
        <v>82</v>
      </c>
      <c r="D22" s="8"/>
      <c r="E22" s="8" t="s">
        <v>19</v>
      </c>
      <c r="F22" s="8" t="s">
        <v>35</v>
      </c>
      <c r="G22" s="8" t="s">
        <v>83</v>
      </c>
      <c r="H22" s="8" t="s">
        <v>22</v>
      </c>
      <c r="I22" s="8" t="s">
        <v>30</v>
      </c>
      <c r="J22" s="8" t="n">
        <v>18</v>
      </c>
      <c r="K22" s="8" t="n">
        <v>0.85</v>
      </c>
      <c r="L22" s="8" t="n">
        <v>0.05</v>
      </c>
      <c r="M22" s="9" t="b">
        <f aca="false">TRUE()</f>
        <v>1</v>
      </c>
      <c r="N22" s="8" t="s">
        <v>84</v>
      </c>
    </row>
    <row r="23" customFormat="false" ht="22.35" hidden="false" customHeight="false" outlineLevel="0" collapsed="false">
      <c r="A23" s="4" t="s">
        <v>85</v>
      </c>
      <c r="B23" s="5" t="s">
        <v>81</v>
      </c>
      <c r="C23" s="5" t="s">
        <v>86</v>
      </c>
      <c r="D23" s="5"/>
      <c r="E23" s="5" t="s">
        <v>19</v>
      </c>
      <c r="F23" s="5" t="s">
        <v>35</v>
      </c>
      <c r="G23" s="5" t="s">
        <v>50</v>
      </c>
      <c r="H23" s="5" t="s">
        <v>22</v>
      </c>
      <c r="I23" s="5" t="s">
        <v>30</v>
      </c>
      <c r="J23" s="5" t="n">
        <v>18</v>
      </c>
      <c r="K23" s="5" t="n">
        <v>0.85</v>
      </c>
      <c r="L23" s="5" t="n">
        <v>0.05</v>
      </c>
      <c r="M23" s="6" t="b">
        <f aca="false">TRUE()</f>
        <v>1</v>
      </c>
      <c r="N23" s="5"/>
    </row>
    <row r="24" customFormat="false" ht="22.35" hidden="false" customHeight="false" outlineLevel="0" collapsed="false">
      <c r="A24" s="7" t="s">
        <v>87</v>
      </c>
      <c r="B24" s="8" t="s">
        <v>81</v>
      </c>
      <c r="C24" s="8" t="s">
        <v>88</v>
      </c>
      <c r="D24" s="8"/>
      <c r="E24" s="8" t="s">
        <v>19</v>
      </c>
      <c r="F24" s="8" t="s">
        <v>42</v>
      </c>
      <c r="G24" s="8" t="s">
        <v>83</v>
      </c>
      <c r="H24" s="8" t="s">
        <v>22</v>
      </c>
      <c r="I24" s="8" t="s">
        <v>30</v>
      </c>
      <c r="J24" s="8" t="n">
        <v>16</v>
      </c>
      <c r="K24" s="8" t="n">
        <v>0.8</v>
      </c>
      <c r="L24" s="8" t="n">
        <v>0.05</v>
      </c>
      <c r="M24" s="9" t="b">
        <f aca="false">TRUE()</f>
        <v>1</v>
      </c>
      <c r="N24" s="8"/>
    </row>
    <row r="25" customFormat="false" ht="22.35" hidden="false" customHeight="false" outlineLevel="0" collapsed="false">
      <c r="A25" s="4" t="s">
        <v>89</v>
      </c>
      <c r="B25" s="5" t="s">
        <v>81</v>
      </c>
      <c r="C25" s="5" t="s">
        <v>90</v>
      </c>
      <c r="D25" s="5"/>
      <c r="E25" s="5" t="s">
        <v>19</v>
      </c>
      <c r="F25" s="5" t="s">
        <v>42</v>
      </c>
      <c r="G25" s="5" t="s">
        <v>50</v>
      </c>
      <c r="H25" s="5" t="s">
        <v>22</v>
      </c>
      <c r="I25" s="5" t="s">
        <v>30</v>
      </c>
      <c r="J25" s="5" t="n">
        <v>16</v>
      </c>
      <c r="K25" s="5" t="n">
        <v>0.8</v>
      </c>
      <c r="L25" s="5" t="n">
        <v>0.05</v>
      </c>
      <c r="M25" s="6" t="b">
        <f aca="false">TRUE()</f>
        <v>1</v>
      </c>
      <c r="N25" s="5"/>
    </row>
    <row r="26" customFormat="false" ht="22.35" hidden="false" customHeight="false" outlineLevel="0" collapsed="false">
      <c r="A26" s="7" t="s">
        <v>91</v>
      </c>
      <c r="B26" s="8" t="s">
        <v>81</v>
      </c>
      <c r="C26" s="8" t="s">
        <v>92</v>
      </c>
      <c r="D26" s="8"/>
      <c r="E26" s="8" t="s">
        <v>27</v>
      </c>
      <c r="F26" s="8" t="s">
        <v>35</v>
      </c>
      <c r="G26" s="8" t="s">
        <v>93</v>
      </c>
      <c r="H26" s="8" t="s">
        <v>22</v>
      </c>
      <c r="I26" s="8" t="s">
        <v>30</v>
      </c>
      <c r="J26" s="8" t="n">
        <v>17.5</v>
      </c>
      <c r="K26" s="8" t="n">
        <v>0.85</v>
      </c>
      <c r="L26" s="8" t="n">
        <v>0.05</v>
      </c>
      <c r="M26" s="9" t="b">
        <f aca="false">TRUE()</f>
        <v>1</v>
      </c>
      <c r="N26" s="8"/>
    </row>
    <row r="27" customFormat="false" ht="22.35" hidden="false" customHeight="false" outlineLevel="0" collapsed="false">
      <c r="A27" s="4" t="s">
        <v>94</v>
      </c>
      <c r="B27" s="5" t="s">
        <v>81</v>
      </c>
      <c r="C27" s="5" t="s">
        <v>95</v>
      </c>
      <c r="D27" s="5"/>
      <c r="E27" s="5" t="s">
        <v>27</v>
      </c>
      <c r="F27" s="5" t="s">
        <v>46</v>
      </c>
      <c r="G27" s="5" t="s">
        <v>93</v>
      </c>
      <c r="H27" s="5" t="s">
        <v>22</v>
      </c>
      <c r="I27" s="5" t="s">
        <v>30</v>
      </c>
      <c r="J27" s="5" t="n">
        <v>15</v>
      </c>
      <c r="K27" s="5" t="n">
        <v>0.8</v>
      </c>
      <c r="L27" s="5" t="n">
        <v>0.05</v>
      </c>
      <c r="M27" s="6" t="b">
        <f aca="false">TRUE()</f>
        <v>1</v>
      </c>
      <c r="N27" s="5"/>
    </row>
    <row r="28" customFormat="false" ht="22.35" hidden="false" customHeight="false" outlineLevel="0" collapsed="false">
      <c r="A28" s="7" t="s">
        <v>96</v>
      </c>
      <c r="B28" s="8" t="s">
        <v>81</v>
      </c>
      <c r="C28" s="8" t="s">
        <v>97</v>
      </c>
      <c r="D28" s="8"/>
      <c r="E28" s="8" t="s">
        <v>19</v>
      </c>
      <c r="F28" s="8" t="s">
        <v>46</v>
      </c>
      <c r="G28" s="8" t="s">
        <v>50</v>
      </c>
      <c r="H28" s="8" t="s">
        <v>22</v>
      </c>
      <c r="I28" s="8" t="s">
        <v>51</v>
      </c>
      <c r="J28" s="8" t="n">
        <v>15</v>
      </c>
      <c r="K28" s="8" t="n">
        <v>0.7</v>
      </c>
      <c r="L28" s="8" t="n">
        <v>0.05</v>
      </c>
      <c r="M28" s="9" t="b">
        <f aca="false">TRUE()</f>
        <v>1</v>
      </c>
      <c r="N28" s="8" t="s">
        <v>98</v>
      </c>
    </row>
    <row r="29" customFormat="false" ht="22.35" hidden="false" customHeight="false" outlineLevel="0" collapsed="false">
      <c r="A29" s="4" t="s">
        <v>99</v>
      </c>
      <c r="B29" s="5" t="s">
        <v>81</v>
      </c>
      <c r="C29" s="5" t="s">
        <v>100</v>
      </c>
      <c r="D29" s="5"/>
      <c r="E29" s="5" t="s">
        <v>27</v>
      </c>
      <c r="F29" s="5" t="s">
        <v>56</v>
      </c>
      <c r="G29" s="5" t="s">
        <v>50</v>
      </c>
      <c r="H29" s="5" t="s">
        <v>22</v>
      </c>
      <c r="I29" s="5" t="s">
        <v>51</v>
      </c>
      <c r="J29" s="5" t="n">
        <v>14</v>
      </c>
      <c r="K29" s="5" t="n">
        <v>0.7</v>
      </c>
      <c r="L29" s="5" t="n">
        <v>0.05</v>
      </c>
      <c r="M29" s="6" t="b">
        <f aca="false">TRUE()</f>
        <v>1</v>
      </c>
      <c r="N29" s="5"/>
    </row>
    <row r="30" customFormat="false" ht="15" hidden="false" customHeight="false" outlineLevel="0" collapsed="false">
      <c r="A30" s="7" t="s">
        <v>101</v>
      </c>
      <c r="B30" s="8" t="s">
        <v>102</v>
      </c>
      <c r="C30" s="8" t="s">
        <v>103</v>
      </c>
      <c r="D30" s="8"/>
      <c r="E30" s="8" t="s">
        <v>19</v>
      </c>
      <c r="F30" s="8" t="s">
        <v>20</v>
      </c>
      <c r="G30" s="8" t="s">
        <v>83</v>
      </c>
      <c r="H30" s="8" t="s">
        <v>22</v>
      </c>
      <c r="I30" s="8" t="s">
        <v>104</v>
      </c>
      <c r="J30" s="8" t="n">
        <v>24</v>
      </c>
      <c r="K30" s="8" t="n">
        <v>1</v>
      </c>
      <c r="L30" s="8" t="n">
        <v>0.05</v>
      </c>
      <c r="M30" s="9" t="b">
        <f aca="false">TRUE()</f>
        <v>1</v>
      </c>
      <c r="N30" s="8" t="s">
        <v>105</v>
      </c>
    </row>
    <row r="31" customFormat="false" ht="15" hidden="false" customHeight="false" outlineLevel="0" collapsed="false">
      <c r="A31" s="4" t="s">
        <v>106</v>
      </c>
      <c r="B31" s="5" t="s">
        <v>102</v>
      </c>
      <c r="C31" s="5" t="s">
        <v>107</v>
      </c>
      <c r="D31" s="5"/>
      <c r="E31" s="5" t="s">
        <v>19</v>
      </c>
      <c r="F31" s="5" t="s">
        <v>20</v>
      </c>
      <c r="G31" s="5" t="s">
        <v>83</v>
      </c>
      <c r="H31" s="5" t="s">
        <v>22</v>
      </c>
      <c r="I31" s="5" t="s">
        <v>104</v>
      </c>
      <c r="J31" s="5" t="n">
        <v>22</v>
      </c>
      <c r="K31" s="5" t="n">
        <v>0.85</v>
      </c>
      <c r="L31" s="5" t="n">
        <v>0.05</v>
      </c>
      <c r="M31" s="6" t="b">
        <f aca="false">TRUE()</f>
        <v>1</v>
      </c>
      <c r="N31" s="5"/>
    </row>
    <row r="32" customFormat="false" ht="15" hidden="false" customHeight="false" outlineLevel="0" collapsed="false">
      <c r="A32" s="7" t="s">
        <v>108</v>
      </c>
      <c r="B32" s="8" t="s">
        <v>102</v>
      </c>
      <c r="C32" s="8" t="s">
        <v>109</v>
      </c>
      <c r="D32" s="8"/>
      <c r="E32" s="8" t="s">
        <v>19</v>
      </c>
      <c r="F32" s="8" t="s">
        <v>20</v>
      </c>
      <c r="G32" s="8" t="s">
        <v>83</v>
      </c>
      <c r="H32" s="8" t="s">
        <v>22</v>
      </c>
      <c r="I32" s="8" t="s">
        <v>110</v>
      </c>
      <c r="J32" s="8" t="n">
        <v>21</v>
      </c>
      <c r="K32" s="8" t="n">
        <v>0.75</v>
      </c>
      <c r="L32" s="8" t="n">
        <v>0.05</v>
      </c>
      <c r="M32" s="9" t="b">
        <f aca="false">TRUE()</f>
        <v>1</v>
      </c>
      <c r="N32" s="8"/>
    </row>
    <row r="33" customFormat="false" ht="15" hidden="false" customHeight="false" outlineLevel="0" collapsed="false">
      <c r="A33" s="4" t="s">
        <v>111</v>
      </c>
      <c r="B33" s="5" t="s">
        <v>102</v>
      </c>
      <c r="C33" s="5" t="s">
        <v>112</v>
      </c>
      <c r="D33" s="5"/>
      <c r="E33" s="5" t="s">
        <v>19</v>
      </c>
      <c r="F33" s="5" t="s">
        <v>20</v>
      </c>
      <c r="G33" s="5" t="s">
        <v>83</v>
      </c>
      <c r="H33" s="5" t="s">
        <v>22</v>
      </c>
      <c r="I33" s="5" t="s">
        <v>51</v>
      </c>
      <c r="J33" s="5" t="n">
        <v>20</v>
      </c>
      <c r="K33" s="5" t="n">
        <v>0.65</v>
      </c>
      <c r="L33" s="5" t="n">
        <v>0.05</v>
      </c>
      <c r="M33" s="6" t="b">
        <f aca="false">TRUE()</f>
        <v>1</v>
      </c>
      <c r="N33" s="5"/>
    </row>
    <row r="34" customFormat="false" ht="15" hidden="false" customHeight="false" outlineLevel="0" collapsed="false">
      <c r="A34" s="7" t="s">
        <v>113</v>
      </c>
      <c r="B34" s="8" t="s">
        <v>102</v>
      </c>
      <c r="C34" s="8" t="s">
        <v>114</v>
      </c>
      <c r="D34" s="8"/>
      <c r="E34" s="8" t="s">
        <v>27</v>
      </c>
      <c r="F34" s="8" t="s">
        <v>20</v>
      </c>
      <c r="G34" s="8" t="s">
        <v>83</v>
      </c>
      <c r="H34" s="8" t="s">
        <v>22</v>
      </c>
      <c r="I34" s="8" t="s">
        <v>115</v>
      </c>
      <c r="J34" s="8" t="n">
        <v>22</v>
      </c>
      <c r="K34" s="8" t="n">
        <v>0.85</v>
      </c>
      <c r="L34" s="8" t="n">
        <v>0.05</v>
      </c>
      <c r="M34" s="9" t="b">
        <f aca="false">TRUE()</f>
        <v>1</v>
      </c>
      <c r="N34" s="8" t="s">
        <v>116</v>
      </c>
    </row>
    <row r="35" customFormat="false" ht="15" hidden="false" customHeight="false" outlineLevel="0" collapsed="false">
      <c r="A35" s="4" t="s">
        <v>117</v>
      </c>
      <c r="B35" s="5" t="s">
        <v>102</v>
      </c>
      <c r="C35" s="5" t="s">
        <v>118</v>
      </c>
      <c r="D35" s="5"/>
      <c r="E35" s="5" t="s">
        <v>27</v>
      </c>
      <c r="F35" s="5" t="s">
        <v>20</v>
      </c>
      <c r="G35" s="5" t="s">
        <v>83</v>
      </c>
      <c r="H35" s="5" t="s">
        <v>119</v>
      </c>
      <c r="I35" s="5" t="s">
        <v>51</v>
      </c>
      <c r="J35" s="5" t="n">
        <v>20</v>
      </c>
      <c r="K35" s="5" t="n">
        <v>0.7</v>
      </c>
      <c r="L35" s="5" t="n">
        <v>0.05</v>
      </c>
      <c r="M35" s="6" t="b">
        <f aca="false">TRUE()</f>
        <v>1</v>
      </c>
      <c r="N35" s="5"/>
    </row>
    <row r="36" customFormat="false" ht="15" hidden="false" customHeight="false" outlineLevel="0" collapsed="false">
      <c r="A36" s="7" t="s">
        <v>120</v>
      </c>
      <c r="B36" s="8" t="s">
        <v>121</v>
      </c>
      <c r="C36" s="8" t="s">
        <v>122</v>
      </c>
      <c r="D36" s="8"/>
      <c r="E36" s="8" t="s">
        <v>19</v>
      </c>
      <c r="F36" s="8" t="s">
        <v>123</v>
      </c>
      <c r="G36" s="8" t="s">
        <v>83</v>
      </c>
      <c r="H36" s="8" t="s">
        <v>22</v>
      </c>
      <c r="I36" s="8" t="s">
        <v>51</v>
      </c>
      <c r="J36" s="8" t="n">
        <v>16.5</v>
      </c>
      <c r="K36" s="8" t="n">
        <v>0.75</v>
      </c>
      <c r="L36" s="8" t="n">
        <v>0.05</v>
      </c>
      <c r="M36" s="9" t="b">
        <f aca="false">TRUE()</f>
        <v>1</v>
      </c>
      <c r="N36" s="8" t="s">
        <v>124</v>
      </c>
    </row>
    <row r="37" customFormat="false" ht="15" hidden="false" customHeight="false" outlineLevel="0" collapsed="false">
      <c r="A37" s="4" t="s">
        <v>125</v>
      </c>
      <c r="B37" s="5" t="s">
        <v>121</v>
      </c>
      <c r="C37" s="5" t="s">
        <v>126</v>
      </c>
      <c r="D37" s="5"/>
      <c r="E37" s="5" t="s">
        <v>27</v>
      </c>
      <c r="F37" s="5" t="s">
        <v>123</v>
      </c>
      <c r="G37" s="5" t="s">
        <v>83</v>
      </c>
      <c r="H37" s="5" t="s">
        <v>22</v>
      </c>
      <c r="I37" s="5" t="s">
        <v>51</v>
      </c>
      <c r="J37" s="5" t="n">
        <v>16</v>
      </c>
      <c r="K37" s="5" t="n">
        <v>0.7</v>
      </c>
      <c r="L37" s="5" t="n">
        <v>0.05</v>
      </c>
      <c r="M37" s="6" t="b">
        <f aca="false">TRUE()</f>
        <v>1</v>
      </c>
      <c r="N37" s="5" t="s">
        <v>127</v>
      </c>
    </row>
    <row r="38" customFormat="false" ht="15" hidden="false" customHeight="false" outlineLevel="0" collapsed="false">
      <c r="A38" s="7" t="s">
        <v>128</v>
      </c>
      <c r="B38" s="8" t="s">
        <v>121</v>
      </c>
      <c r="C38" s="8" t="s">
        <v>129</v>
      </c>
      <c r="D38" s="8" t="s">
        <v>129</v>
      </c>
      <c r="E38" s="8" t="s">
        <v>19</v>
      </c>
      <c r="F38" s="8" t="s">
        <v>46</v>
      </c>
      <c r="G38" s="8" t="s">
        <v>83</v>
      </c>
      <c r="H38" s="8" t="s">
        <v>22</v>
      </c>
      <c r="I38" s="8" t="s">
        <v>51</v>
      </c>
      <c r="J38" s="8" t="n">
        <v>14.5</v>
      </c>
      <c r="K38" s="8" t="n">
        <v>0.75</v>
      </c>
      <c r="L38" s="8" t="n">
        <v>0.05</v>
      </c>
      <c r="M38" s="9" t="b">
        <f aca="false">TRUE()</f>
        <v>1</v>
      </c>
      <c r="N38" s="8" t="s">
        <v>130</v>
      </c>
    </row>
    <row r="39" customFormat="false" ht="15" hidden="false" customHeight="false" outlineLevel="0" collapsed="false">
      <c r="A39" s="4" t="s">
        <v>131</v>
      </c>
      <c r="B39" s="5" t="s">
        <v>121</v>
      </c>
      <c r="C39" s="5" t="s">
        <v>132</v>
      </c>
      <c r="D39" s="5" t="s">
        <v>132</v>
      </c>
      <c r="E39" s="5" t="s">
        <v>27</v>
      </c>
      <c r="F39" s="5" t="s">
        <v>56</v>
      </c>
      <c r="G39" s="5" t="s">
        <v>83</v>
      </c>
      <c r="H39" s="5" t="s">
        <v>22</v>
      </c>
      <c r="I39" s="5" t="s">
        <v>51</v>
      </c>
      <c r="J39" s="5" t="n">
        <v>13</v>
      </c>
      <c r="K39" s="5" t="n">
        <v>0.65</v>
      </c>
      <c r="L39" s="5" t="n">
        <v>0.05</v>
      </c>
      <c r="M39" s="6" t="b">
        <f aca="false">TRUE()</f>
        <v>1</v>
      </c>
      <c r="N39" s="5" t="s">
        <v>133</v>
      </c>
    </row>
    <row r="40" customFormat="false" ht="15" hidden="false" customHeight="false" outlineLevel="0" collapsed="false">
      <c r="A40" s="7" t="s">
        <v>134</v>
      </c>
      <c r="B40" s="8" t="s">
        <v>121</v>
      </c>
      <c r="C40" s="8" t="s">
        <v>135</v>
      </c>
      <c r="D40" s="8"/>
      <c r="E40" s="8" t="s">
        <v>55</v>
      </c>
      <c r="F40" s="8" t="s">
        <v>136</v>
      </c>
      <c r="G40" s="8" t="s">
        <v>83</v>
      </c>
      <c r="H40" s="8" t="s">
        <v>57</v>
      </c>
      <c r="I40" s="8" t="s">
        <v>137</v>
      </c>
      <c r="J40" s="8" t="n">
        <v>14</v>
      </c>
      <c r="K40" s="8" t="n">
        <v>0.55</v>
      </c>
      <c r="L40" s="8" t="n">
        <v>0.05</v>
      </c>
      <c r="M40" s="9" t="b">
        <f aca="false">TRUE()</f>
        <v>1</v>
      </c>
      <c r="N40" s="8" t="s">
        <v>138</v>
      </c>
    </row>
    <row r="41" customFormat="false" ht="15" hidden="false" customHeight="false" outlineLevel="0" collapsed="false">
      <c r="A41" s="4" t="s">
        <v>139</v>
      </c>
      <c r="B41" s="5" t="s">
        <v>140</v>
      </c>
      <c r="C41" s="5" t="s">
        <v>141</v>
      </c>
      <c r="D41" s="5"/>
      <c r="E41" s="5" t="s">
        <v>19</v>
      </c>
      <c r="F41" s="5" t="s">
        <v>20</v>
      </c>
      <c r="G41" s="5" t="s">
        <v>83</v>
      </c>
      <c r="H41" s="5" t="s">
        <v>22</v>
      </c>
      <c r="I41" s="5" t="s">
        <v>110</v>
      </c>
      <c r="J41" s="5" t="n">
        <v>24</v>
      </c>
      <c r="K41" s="5" t="n">
        <v>0.7</v>
      </c>
      <c r="L41" s="5" t="n">
        <v>0.05</v>
      </c>
      <c r="M41" s="6" t="b">
        <f aca="false">TRUE()</f>
        <v>1</v>
      </c>
      <c r="N41" s="5" t="s">
        <v>142</v>
      </c>
    </row>
    <row r="42" customFormat="false" ht="15" hidden="false" customHeight="false" outlineLevel="0" collapsed="false">
      <c r="A42" s="7" t="s">
        <v>143</v>
      </c>
      <c r="B42" s="8" t="s">
        <v>140</v>
      </c>
      <c r="C42" s="8" t="s">
        <v>144</v>
      </c>
      <c r="D42" s="8"/>
      <c r="E42" s="8" t="s">
        <v>19</v>
      </c>
      <c r="F42" s="8" t="s">
        <v>20</v>
      </c>
      <c r="G42" s="8" t="s">
        <v>83</v>
      </c>
      <c r="H42" s="8" t="s">
        <v>22</v>
      </c>
      <c r="I42" s="8" t="s">
        <v>110</v>
      </c>
      <c r="J42" s="8" t="n">
        <v>22</v>
      </c>
      <c r="K42" s="8" t="n">
        <v>0.6</v>
      </c>
      <c r="L42" s="8" t="n">
        <v>0.05</v>
      </c>
      <c r="M42" s="9" t="b">
        <f aca="false">TRUE()</f>
        <v>1</v>
      </c>
      <c r="N42" s="8"/>
    </row>
    <row r="43" customFormat="false" ht="15" hidden="false" customHeight="false" outlineLevel="0" collapsed="false">
      <c r="A43" s="4" t="s">
        <v>145</v>
      </c>
      <c r="B43" s="5" t="s">
        <v>140</v>
      </c>
      <c r="C43" s="5" t="s">
        <v>146</v>
      </c>
      <c r="D43" s="5"/>
      <c r="E43" s="5" t="s">
        <v>19</v>
      </c>
      <c r="F43" s="5" t="s">
        <v>20</v>
      </c>
      <c r="G43" s="5" t="s">
        <v>83</v>
      </c>
      <c r="H43" s="5" t="s">
        <v>22</v>
      </c>
      <c r="I43" s="5" t="s">
        <v>110</v>
      </c>
      <c r="J43" s="5" t="n">
        <v>21</v>
      </c>
      <c r="K43" s="5" t="n">
        <v>0.55</v>
      </c>
      <c r="L43" s="5" t="n">
        <v>0.05</v>
      </c>
      <c r="M43" s="6" t="b">
        <f aca="false">TRUE()</f>
        <v>1</v>
      </c>
      <c r="N43" s="5"/>
    </row>
    <row r="44" customFormat="false" ht="15" hidden="false" customHeight="false" outlineLevel="0" collapsed="false">
      <c r="A44" s="7" t="s">
        <v>147</v>
      </c>
      <c r="B44" s="8" t="s">
        <v>140</v>
      </c>
      <c r="C44" s="8" t="s">
        <v>148</v>
      </c>
      <c r="D44" s="8"/>
      <c r="E44" s="8" t="s">
        <v>19</v>
      </c>
      <c r="F44" s="8" t="s">
        <v>20</v>
      </c>
      <c r="G44" s="8" t="s">
        <v>83</v>
      </c>
      <c r="H44" s="8" t="s">
        <v>22</v>
      </c>
      <c r="I44" s="8" t="s">
        <v>51</v>
      </c>
      <c r="J44" s="8" t="n">
        <v>20</v>
      </c>
      <c r="K44" s="8" t="n">
        <v>0.5</v>
      </c>
      <c r="L44" s="8" t="n">
        <v>0.05</v>
      </c>
      <c r="M44" s="9" t="b">
        <f aca="false">TRUE()</f>
        <v>1</v>
      </c>
      <c r="N44" s="8"/>
    </row>
    <row r="45" customFormat="false" ht="15" hidden="false" customHeight="false" outlineLevel="0" collapsed="false">
      <c r="A45" s="4" t="s">
        <v>149</v>
      </c>
      <c r="B45" s="5" t="s">
        <v>140</v>
      </c>
      <c r="C45" s="5" t="s">
        <v>150</v>
      </c>
      <c r="D45" s="5" t="s">
        <v>150</v>
      </c>
      <c r="E45" s="5" t="s">
        <v>19</v>
      </c>
      <c r="F45" s="5" t="s">
        <v>56</v>
      </c>
      <c r="G45" s="5" t="s">
        <v>83</v>
      </c>
      <c r="H45" s="5" t="s">
        <v>22</v>
      </c>
      <c r="I45" s="5" t="s">
        <v>51</v>
      </c>
      <c r="J45" s="5" t="n">
        <v>14</v>
      </c>
      <c r="K45" s="5" t="n">
        <v>0.6</v>
      </c>
      <c r="L45" s="5" t="n">
        <v>0.05</v>
      </c>
      <c r="M45" s="6" t="b">
        <f aca="false">TRUE()</f>
        <v>1</v>
      </c>
      <c r="N45" s="5" t="s">
        <v>151</v>
      </c>
    </row>
    <row r="46" customFormat="false" ht="15" hidden="false" customHeight="false" outlineLevel="0" collapsed="false">
      <c r="A46" s="7" t="s">
        <v>152</v>
      </c>
      <c r="B46" s="8" t="s">
        <v>140</v>
      </c>
      <c r="C46" s="8" t="s">
        <v>153</v>
      </c>
      <c r="D46" s="8" t="s">
        <v>154</v>
      </c>
      <c r="E46" s="8" t="s">
        <v>19</v>
      </c>
      <c r="F46" s="8" t="s">
        <v>20</v>
      </c>
      <c r="G46" s="8" t="s">
        <v>83</v>
      </c>
      <c r="H46" s="8" t="s">
        <v>22</v>
      </c>
      <c r="I46" s="8" t="s">
        <v>110</v>
      </c>
      <c r="J46" s="8" t="n">
        <v>24</v>
      </c>
      <c r="K46" s="8" t="n">
        <v>0.7</v>
      </c>
      <c r="L46" s="8" t="n">
        <v>0.05</v>
      </c>
      <c r="M46" s="9" t="b">
        <f aca="false">TRUE()</f>
        <v>1</v>
      </c>
      <c r="N46" s="8" t="s">
        <v>155</v>
      </c>
    </row>
    <row r="47" customFormat="false" ht="15" hidden="false" customHeight="false" outlineLevel="0" collapsed="false">
      <c r="A47" s="4" t="s">
        <v>156</v>
      </c>
      <c r="B47" s="5" t="s">
        <v>140</v>
      </c>
      <c r="C47" s="5" t="s">
        <v>157</v>
      </c>
      <c r="D47" s="5"/>
      <c r="E47" s="5" t="s">
        <v>19</v>
      </c>
      <c r="F47" s="5" t="s">
        <v>20</v>
      </c>
      <c r="G47" s="5" t="s">
        <v>83</v>
      </c>
      <c r="H47" s="5" t="s">
        <v>22</v>
      </c>
      <c r="I47" s="5" t="s">
        <v>110</v>
      </c>
      <c r="J47" s="5" t="n">
        <v>23</v>
      </c>
      <c r="K47" s="5" t="n">
        <v>0.6</v>
      </c>
      <c r="L47" s="5" t="n">
        <v>0.05</v>
      </c>
      <c r="M47" s="6" t="b">
        <f aca="false">TRUE()</f>
        <v>1</v>
      </c>
      <c r="N47" s="5"/>
    </row>
    <row r="48" customFormat="false" ht="15" hidden="false" customHeight="false" outlineLevel="0" collapsed="false">
      <c r="A48" s="7" t="s">
        <v>158</v>
      </c>
      <c r="B48" s="8" t="s">
        <v>140</v>
      </c>
      <c r="C48" s="8" t="s">
        <v>159</v>
      </c>
      <c r="D48" s="8"/>
      <c r="E48" s="8" t="s">
        <v>19</v>
      </c>
      <c r="F48" s="8" t="s">
        <v>20</v>
      </c>
      <c r="G48" s="8" t="s">
        <v>83</v>
      </c>
      <c r="H48" s="8" t="s">
        <v>22</v>
      </c>
      <c r="I48" s="8" t="s">
        <v>57</v>
      </c>
      <c r="J48" s="8" t="n">
        <v>22</v>
      </c>
      <c r="K48" s="8" t="n">
        <v>0.5</v>
      </c>
      <c r="L48" s="8" t="n">
        <v>0.05</v>
      </c>
      <c r="M48" s="9" t="b">
        <f aca="false">TRUE()</f>
        <v>1</v>
      </c>
      <c r="N48" s="8"/>
    </row>
    <row r="49" customFormat="false" ht="22.35" hidden="false" customHeight="false" outlineLevel="0" collapsed="false">
      <c r="A49" s="4" t="s">
        <v>160</v>
      </c>
      <c r="B49" s="5" t="s">
        <v>161</v>
      </c>
      <c r="C49" s="5" t="s">
        <v>162</v>
      </c>
      <c r="D49" s="5"/>
      <c r="E49" s="5" t="s">
        <v>19</v>
      </c>
      <c r="F49" s="5" t="s">
        <v>20</v>
      </c>
      <c r="G49" s="5" t="s">
        <v>83</v>
      </c>
      <c r="H49" s="5" t="s">
        <v>22</v>
      </c>
      <c r="I49" s="5" t="s">
        <v>163</v>
      </c>
      <c r="J49" s="5" t="n">
        <v>24</v>
      </c>
      <c r="K49" s="5" t="n">
        <v>0.55</v>
      </c>
      <c r="L49" s="5" t="n">
        <v>0.05</v>
      </c>
      <c r="M49" s="6" t="b">
        <f aca="false">TRUE()</f>
        <v>1</v>
      </c>
      <c r="N49" s="5" t="s">
        <v>164</v>
      </c>
    </row>
    <row r="50" customFormat="false" ht="22.35" hidden="false" customHeight="false" outlineLevel="0" collapsed="false">
      <c r="A50" s="7" t="s">
        <v>165</v>
      </c>
      <c r="B50" s="8" t="s">
        <v>161</v>
      </c>
      <c r="C50" s="8" t="s">
        <v>166</v>
      </c>
      <c r="D50" s="8"/>
      <c r="E50" s="8" t="s">
        <v>19</v>
      </c>
      <c r="F50" s="8" t="s">
        <v>20</v>
      </c>
      <c r="G50" s="8" t="s">
        <v>83</v>
      </c>
      <c r="H50" s="8" t="s">
        <v>22</v>
      </c>
      <c r="I50" s="8" t="s">
        <v>163</v>
      </c>
      <c r="J50" s="8" t="n">
        <v>22</v>
      </c>
      <c r="K50" s="8" t="n">
        <v>0.5</v>
      </c>
      <c r="L50" s="8" t="n">
        <v>0.05</v>
      </c>
      <c r="M50" s="9" t="b">
        <f aca="false">TRUE()</f>
        <v>1</v>
      </c>
      <c r="N50" s="8"/>
    </row>
    <row r="51" customFormat="false" ht="22.35" hidden="false" customHeight="false" outlineLevel="0" collapsed="false">
      <c r="A51" s="4" t="s">
        <v>167</v>
      </c>
      <c r="B51" s="5" t="s">
        <v>161</v>
      </c>
      <c r="C51" s="5" t="s">
        <v>168</v>
      </c>
      <c r="D51" s="5"/>
      <c r="E51" s="5" t="s">
        <v>19</v>
      </c>
      <c r="F51" s="5" t="s">
        <v>20</v>
      </c>
      <c r="G51" s="5" t="s">
        <v>83</v>
      </c>
      <c r="H51" s="5" t="s">
        <v>22</v>
      </c>
      <c r="I51" s="5" t="s">
        <v>163</v>
      </c>
      <c r="J51" s="5" t="n">
        <v>21</v>
      </c>
      <c r="K51" s="5" t="n">
        <v>0.45</v>
      </c>
      <c r="L51" s="5" t="n">
        <v>0.05</v>
      </c>
      <c r="M51" s="6" t="b">
        <f aca="false">TRUE()</f>
        <v>1</v>
      </c>
      <c r="N51" s="5"/>
    </row>
    <row r="52" customFormat="false" ht="22.35" hidden="false" customHeight="false" outlineLevel="0" collapsed="false">
      <c r="A52" s="7" t="s">
        <v>169</v>
      </c>
      <c r="B52" s="8" t="s">
        <v>161</v>
      </c>
      <c r="C52" s="8" t="s">
        <v>170</v>
      </c>
      <c r="D52" s="8"/>
      <c r="E52" s="8" t="s">
        <v>19</v>
      </c>
      <c r="F52" s="8" t="s">
        <v>20</v>
      </c>
      <c r="G52" s="8" t="s">
        <v>83</v>
      </c>
      <c r="H52" s="8" t="s">
        <v>22</v>
      </c>
      <c r="I52" s="8" t="s">
        <v>171</v>
      </c>
      <c r="J52" s="8" t="n">
        <v>20</v>
      </c>
      <c r="K52" s="8" t="n">
        <v>0.4</v>
      </c>
      <c r="L52" s="8" t="n">
        <v>0.05</v>
      </c>
      <c r="M52" s="9" t="b">
        <f aca="false">TRUE()</f>
        <v>1</v>
      </c>
      <c r="N52" s="8"/>
    </row>
    <row r="53" customFormat="false" ht="22.35" hidden="false" customHeight="false" outlineLevel="0" collapsed="false">
      <c r="A53" s="4" t="s">
        <v>172</v>
      </c>
      <c r="B53" s="5" t="s">
        <v>161</v>
      </c>
      <c r="C53" s="5" t="s">
        <v>173</v>
      </c>
      <c r="D53" s="5"/>
      <c r="E53" s="5" t="s">
        <v>19</v>
      </c>
      <c r="F53" s="5" t="s">
        <v>20</v>
      </c>
      <c r="G53" s="5" t="s">
        <v>83</v>
      </c>
      <c r="H53" s="5" t="s">
        <v>174</v>
      </c>
      <c r="I53" s="5" t="s">
        <v>163</v>
      </c>
      <c r="J53" s="5" t="n">
        <v>23</v>
      </c>
      <c r="K53" s="5" t="n">
        <v>0.5</v>
      </c>
      <c r="L53" s="5" t="n">
        <v>0.05</v>
      </c>
      <c r="M53" s="6" t="b">
        <f aca="false">TRUE()</f>
        <v>1</v>
      </c>
      <c r="N53" s="5" t="s">
        <v>175</v>
      </c>
    </row>
    <row r="54" customFormat="false" ht="22.35" hidden="false" customHeight="false" outlineLevel="0" collapsed="false">
      <c r="A54" s="7" t="s">
        <v>176</v>
      </c>
      <c r="B54" s="8" t="s">
        <v>161</v>
      </c>
      <c r="C54" s="8" t="s">
        <v>177</v>
      </c>
      <c r="D54" s="8"/>
      <c r="E54" s="8" t="s">
        <v>19</v>
      </c>
      <c r="F54" s="8" t="s">
        <v>20</v>
      </c>
      <c r="G54" s="8" t="s">
        <v>83</v>
      </c>
      <c r="H54" s="8" t="s">
        <v>174</v>
      </c>
      <c r="I54" s="8" t="s">
        <v>163</v>
      </c>
      <c r="J54" s="8" t="n">
        <v>22</v>
      </c>
      <c r="K54" s="8" t="n">
        <v>0.45</v>
      </c>
      <c r="L54" s="8" t="n">
        <v>0.05</v>
      </c>
      <c r="M54" s="9" t="b">
        <f aca="false">TRUE()</f>
        <v>1</v>
      </c>
      <c r="N54" s="8"/>
    </row>
    <row r="55" customFormat="false" ht="22.35" hidden="false" customHeight="false" outlineLevel="0" collapsed="false">
      <c r="A55" s="4" t="s">
        <v>178</v>
      </c>
      <c r="B55" s="5" t="s">
        <v>161</v>
      </c>
      <c r="C55" s="5" t="s">
        <v>179</v>
      </c>
      <c r="D55" s="5"/>
      <c r="E55" s="5" t="s">
        <v>19</v>
      </c>
      <c r="F55" s="5" t="s">
        <v>20</v>
      </c>
      <c r="G55" s="5" t="s">
        <v>83</v>
      </c>
      <c r="H55" s="5" t="s">
        <v>174</v>
      </c>
      <c r="I55" s="5" t="s">
        <v>57</v>
      </c>
      <c r="J55" s="5" t="n">
        <v>21</v>
      </c>
      <c r="K55" s="5" t="n">
        <v>0.4</v>
      </c>
      <c r="L55" s="5" t="n">
        <v>0.05</v>
      </c>
      <c r="M55" s="6" t="b">
        <f aca="false">TRUE()</f>
        <v>1</v>
      </c>
      <c r="N55" s="5"/>
    </row>
    <row r="56" customFormat="false" ht="22.35" hidden="false" customHeight="false" outlineLevel="0" collapsed="false">
      <c r="A56" s="7" t="s">
        <v>180</v>
      </c>
      <c r="B56" s="8" t="s">
        <v>161</v>
      </c>
      <c r="C56" s="8" t="s">
        <v>181</v>
      </c>
      <c r="D56" s="8"/>
      <c r="E56" s="8" t="s">
        <v>19</v>
      </c>
      <c r="F56" s="8" t="s">
        <v>20</v>
      </c>
      <c r="G56" s="8" t="s">
        <v>83</v>
      </c>
      <c r="H56" s="8" t="s">
        <v>174</v>
      </c>
      <c r="I56" s="8" t="s">
        <v>182</v>
      </c>
      <c r="J56" s="8" t="n">
        <v>22</v>
      </c>
      <c r="K56" s="8" t="n">
        <v>0.45</v>
      </c>
      <c r="L56" s="8" t="n">
        <v>0.05</v>
      </c>
      <c r="M56" s="9" t="b">
        <f aca="false">TRUE()</f>
        <v>1</v>
      </c>
      <c r="N56" s="8" t="s">
        <v>183</v>
      </c>
    </row>
    <row r="57" customFormat="false" ht="22.35" hidden="false" customHeight="false" outlineLevel="0" collapsed="false">
      <c r="A57" s="4" t="s">
        <v>184</v>
      </c>
      <c r="B57" s="5" t="s">
        <v>161</v>
      </c>
      <c r="C57" s="5" t="s">
        <v>185</v>
      </c>
      <c r="D57" s="5"/>
      <c r="E57" s="5" t="s">
        <v>19</v>
      </c>
      <c r="F57" s="5" t="s">
        <v>20</v>
      </c>
      <c r="G57" s="5" t="s">
        <v>83</v>
      </c>
      <c r="H57" s="5" t="s">
        <v>22</v>
      </c>
      <c r="I57" s="5" t="s">
        <v>51</v>
      </c>
      <c r="J57" s="5" t="n">
        <v>22</v>
      </c>
      <c r="K57" s="5" t="n">
        <v>0.45</v>
      </c>
      <c r="L57" s="5" t="n">
        <v>0.05</v>
      </c>
      <c r="M57" s="6" t="b">
        <f aca="false">TRUE()</f>
        <v>1</v>
      </c>
      <c r="N57" s="5"/>
    </row>
    <row r="58" customFormat="false" ht="15" hidden="false" customHeight="false" outlineLevel="0" collapsed="false">
      <c r="A58" s="7" t="s">
        <v>186</v>
      </c>
      <c r="B58" s="8" t="s">
        <v>187</v>
      </c>
      <c r="C58" s="8" t="s">
        <v>188</v>
      </c>
      <c r="D58" s="8"/>
      <c r="E58" s="8" t="s">
        <v>19</v>
      </c>
      <c r="F58" s="8" t="s">
        <v>20</v>
      </c>
      <c r="G58" s="8" t="s">
        <v>50</v>
      </c>
      <c r="H58" s="8" t="s">
        <v>22</v>
      </c>
      <c r="I58" s="8" t="s">
        <v>110</v>
      </c>
      <c r="J58" s="8" t="n">
        <v>24</v>
      </c>
      <c r="K58" s="8" t="n">
        <v>0.55</v>
      </c>
      <c r="L58" s="8" t="n">
        <v>0.05</v>
      </c>
      <c r="M58" s="9" t="b">
        <f aca="false">TRUE()</f>
        <v>1</v>
      </c>
      <c r="N58" s="8" t="s">
        <v>189</v>
      </c>
    </row>
    <row r="59" customFormat="false" ht="15" hidden="false" customHeight="false" outlineLevel="0" collapsed="false">
      <c r="A59" s="4" t="s">
        <v>190</v>
      </c>
      <c r="B59" s="5" t="s">
        <v>187</v>
      </c>
      <c r="C59" s="5" t="s">
        <v>191</v>
      </c>
      <c r="D59" s="5"/>
      <c r="E59" s="5" t="s">
        <v>19</v>
      </c>
      <c r="F59" s="5" t="s">
        <v>20</v>
      </c>
      <c r="G59" s="5" t="s">
        <v>50</v>
      </c>
      <c r="H59" s="5" t="s">
        <v>22</v>
      </c>
      <c r="I59" s="5" t="s">
        <v>110</v>
      </c>
      <c r="J59" s="5" t="n">
        <v>22</v>
      </c>
      <c r="K59" s="5" t="n">
        <v>0.45</v>
      </c>
      <c r="L59" s="5" t="n">
        <v>0.05</v>
      </c>
      <c r="M59" s="6" t="b">
        <f aca="false">TRUE()</f>
        <v>1</v>
      </c>
      <c r="N59" s="5"/>
    </row>
    <row r="60" customFormat="false" ht="15" hidden="false" customHeight="false" outlineLevel="0" collapsed="false">
      <c r="A60" s="7" t="s">
        <v>192</v>
      </c>
      <c r="B60" s="8" t="s">
        <v>187</v>
      </c>
      <c r="C60" s="8" t="s">
        <v>193</v>
      </c>
      <c r="D60" s="8"/>
      <c r="E60" s="8" t="s">
        <v>19</v>
      </c>
      <c r="F60" s="8" t="s">
        <v>20</v>
      </c>
      <c r="G60" s="8" t="s">
        <v>50</v>
      </c>
      <c r="H60" s="8" t="s">
        <v>22</v>
      </c>
      <c r="I60" s="8" t="s">
        <v>51</v>
      </c>
      <c r="J60" s="8" t="n">
        <v>21</v>
      </c>
      <c r="K60" s="8" t="n">
        <v>0.4</v>
      </c>
      <c r="L60" s="8" t="n">
        <v>0.05</v>
      </c>
      <c r="M60" s="9" t="b">
        <f aca="false">TRUE()</f>
        <v>1</v>
      </c>
      <c r="N60" s="8"/>
    </row>
    <row r="61" customFormat="false" ht="15" hidden="false" customHeight="false" outlineLevel="0" collapsed="false">
      <c r="A61" s="4" t="s">
        <v>194</v>
      </c>
      <c r="B61" s="5" t="s">
        <v>187</v>
      </c>
      <c r="C61" s="5" t="s">
        <v>195</v>
      </c>
      <c r="D61" s="5"/>
      <c r="E61" s="5" t="s">
        <v>19</v>
      </c>
      <c r="F61" s="5" t="s">
        <v>20</v>
      </c>
      <c r="G61" s="5" t="s">
        <v>50</v>
      </c>
      <c r="H61" s="5" t="s">
        <v>174</v>
      </c>
      <c r="I61" s="5" t="s">
        <v>51</v>
      </c>
      <c r="J61" s="5" t="n">
        <v>24</v>
      </c>
      <c r="K61" s="5" t="n">
        <v>0.45</v>
      </c>
      <c r="L61" s="5" t="n">
        <v>0.05</v>
      </c>
      <c r="M61" s="6" t="b">
        <f aca="false">TRUE()</f>
        <v>1</v>
      </c>
      <c r="N61" s="5"/>
    </row>
    <row r="62" customFormat="false" ht="15" hidden="false" customHeight="false" outlineLevel="0" collapsed="false">
      <c r="A62" s="7" t="s">
        <v>196</v>
      </c>
      <c r="B62" s="8" t="s">
        <v>187</v>
      </c>
      <c r="C62" s="8" t="s">
        <v>197</v>
      </c>
      <c r="D62" s="8"/>
      <c r="E62" s="8" t="s">
        <v>19</v>
      </c>
      <c r="F62" s="8" t="s">
        <v>20</v>
      </c>
      <c r="G62" s="8" t="s">
        <v>50</v>
      </c>
      <c r="H62" s="8" t="s">
        <v>174</v>
      </c>
      <c r="I62" s="8" t="s">
        <v>51</v>
      </c>
      <c r="J62" s="8" t="n">
        <v>21</v>
      </c>
      <c r="K62" s="8" t="n">
        <v>0.35</v>
      </c>
      <c r="L62" s="8" t="n">
        <v>0.05</v>
      </c>
      <c r="M62" s="9" t="b">
        <f aca="false">TRUE()</f>
        <v>1</v>
      </c>
      <c r="N62" s="8"/>
    </row>
    <row r="63" customFormat="false" ht="15" hidden="false" customHeight="false" outlineLevel="0" collapsed="false">
      <c r="A63" s="4" t="s">
        <v>198</v>
      </c>
      <c r="B63" s="5" t="s">
        <v>187</v>
      </c>
      <c r="C63" s="5" t="s">
        <v>199</v>
      </c>
      <c r="D63" s="5"/>
      <c r="E63" s="5" t="s">
        <v>27</v>
      </c>
      <c r="F63" s="5" t="s">
        <v>20</v>
      </c>
      <c r="G63" s="5" t="s">
        <v>50</v>
      </c>
      <c r="H63" s="5" t="s">
        <v>57</v>
      </c>
      <c r="I63" s="5" t="s">
        <v>51</v>
      </c>
      <c r="J63" s="5" t="n">
        <v>22</v>
      </c>
      <c r="K63" s="5" t="n">
        <v>0.45</v>
      </c>
      <c r="L63" s="5" t="n">
        <v>0.05</v>
      </c>
      <c r="M63" s="6" t="b">
        <f aca="false">TRUE()</f>
        <v>1</v>
      </c>
      <c r="N63" s="5"/>
    </row>
    <row r="64" customFormat="false" ht="15" hidden="false" customHeight="false" outlineLevel="0" collapsed="false">
      <c r="A64" s="7" t="s">
        <v>200</v>
      </c>
      <c r="B64" s="8" t="s">
        <v>201</v>
      </c>
      <c r="C64" s="8" t="s">
        <v>202</v>
      </c>
      <c r="D64" s="8"/>
      <c r="E64" s="8" t="s">
        <v>19</v>
      </c>
      <c r="F64" s="8" t="s">
        <v>20</v>
      </c>
      <c r="G64" s="8" t="s">
        <v>50</v>
      </c>
      <c r="H64" s="8" t="s">
        <v>22</v>
      </c>
      <c r="I64" s="8" t="s">
        <v>51</v>
      </c>
      <c r="J64" s="8" t="n">
        <v>26</v>
      </c>
      <c r="K64" s="8" t="n">
        <v>0.6</v>
      </c>
      <c r="L64" s="8" t="n">
        <v>0.05</v>
      </c>
      <c r="M64" s="9" t="b">
        <f aca="false">TRUE()</f>
        <v>1</v>
      </c>
      <c r="N64" s="8" t="s">
        <v>203</v>
      </c>
    </row>
    <row r="65" customFormat="false" ht="15" hidden="false" customHeight="false" outlineLevel="0" collapsed="false">
      <c r="A65" s="4" t="s">
        <v>204</v>
      </c>
      <c r="B65" s="5" t="s">
        <v>201</v>
      </c>
      <c r="C65" s="5" t="s">
        <v>205</v>
      </c>
      <c r="D65" s="5"/>
      <c r="E65" s="5" t="s">
        <v>27</v>
      </c>
      <c r="F65" s="5" t="s">
        <v>20</v>
      </c>
      <c r="G65" s="5" t="s">
        <v>50</v>
      </c>
      <c r="H65" s="5" t="s">
        <v>57</v>
      </c>
      <c r="I65" s="5" t="s">
        <v>51</v>
      </c>
      <c r="J65" s="5" t="n">
        <v>24</v>
      </c>
      <c r="K65" s="5" t="n">
        <v>0.55</v>
      </c>
      <c r="L65" s="5" t="n">
        <v>0.05</v>
      </c>
      <c r="M65" s="6" t="b">
        <f aca="false">TRUE()</f>
        <v>1</v>
      </c>
      <c r="N65" s="5"/>
    </row>
    <row r="66" customFormat="false" ht="15" hidden="false" customHeight="false" outlineLevel="0" collapsed="false">
      <c r="A66" s="7" t="s">
        <v>206</v>
      </c>
      <c r="B66" s="8" t="s">
        <v>201</v>
      </c>
      <c r="C66" s="8" t="s">
        <v>207</v>
      </c>
      <c r="D66" s="8"/>
      <c r="E66" s="8" t="s">
        <v>55</v>
      </c>
      <c r="F66" s="8" t="s">
        <v>208</v>
      </c>
      <c r="G66" s="8" t="s">
        <v>50</v>
      </c>
      <c r="H66" s="8" t="s">
        <v>57</v>
      </c>
      <c r="I66" s="8" t="s">
        <v>51</v>
      </c>
      <c r="J66" s="8" t="n">
        <v>14</v>
      </c>
      <c r="K66" s="8" t="n">
        <v>0.5</v>
      </c>
      <c r="L66" s="8" t="n">
        <v>0.05</v>
      </c>
      <c r="M66" s="9" t="b">
        <f aca="false">TRUE()</f>
        <v>1</v>
      </c>
      <c r="N66" s="8" t="s">
        <v>209</v>
      </c>
    </row>
    <row r="67" customFormat="false" ht="15" hidden="false" customHeight="false" outlineLevel="0" collapsed="false">
      <c r="A67" s="4" t="s">
        <v>210</v>
      </c>
      <c r="B67" s="5" t="s">
        <v>211</v>
      </c>
      <c r="C67" s="5" t="s">
        <v>212</v>
      </c>
      <c r="D67" s="5"/>
      <c r="E67" s="5" t="s">
        <v>55</v>
      </c>
      <c r="F67" s="5" t="s">
        <v>213</v>
      </c>
      <c r="G67" s="5" t="s">
        <v>50</v>
      </c>
      <c r="H67" s="5" t="s">
        <v>57</v>
      </c>
      <c r="I67" s="5" t="s">
        <v>51</v>
      </c>
      <c r="J67" s="5" t="n">
        <v>16</v>
      </c>
      <c r="K67" s="5" t="n">
        <v>0.4</v>
      </c>
      <c r="L67" s="5" t="n">
        <v>0.05</v>
      </c>
      <c r="M67" s="6" t="b">
        <f aca="false">TRUE()</f>
        <v>1</v>
      </c>
      <c r="N67" s="5"/>
    </row>
    <row r="68" customFormat="false" ht="15" hidden="false" customHeight="false" outlineLevel="0" collapsed="false">
      <c r="A68" s="7" t="s">
        <v>214</v>
      </c>
      <c r="B68" s="8" t="s">
        <v>211</v>
      </c>
      <c r="C68" s="8" t="s">
        <v>215</v>
      </c>
      <c r="D68" s="8"/>
      <c r="E68" s="8" t="s">
        <v>55</v>
      </c>
      <c r="F68" s="8" t="s">
        <v>216</v>
      </c>
      <c r="G68" s="8" t="s">
        <v>50</v>
      </c>
      <c r="H68" s="8" t="s">
        <v>57</v>
      </c>
      <c r="I68" s="8" t="s">
        <v>51</v>
      </c>
      <c r="J68" s="8" t="n">
        <v>14.5</v>
      </c>
      <c r="K68" s="8" t="n">
        <v>0.35</v>
      </c>
      <c r="L68" s="8" t="n">
        <v>0.05</v>
      </c>
      <c r="M68" s="9" t="b">
        <f aca="false">TRUE()</f>
        <v>1</v>
      </c>
      <c r="N68" s="8"/>
    </row>
    <row r="69" customFormat="false" ht="15" hidden="false" customHeight="false" outlineLevel="0" collapsed="false">
      <c r="A69" s="4" t="s">
        <v>217</v>
      </c>
      <c r="B69" s="5" t="s">
        <v>211</v>
      </c>
      <c r="C69" s="5" t="s">
        <v>218</v>
      </c>
      <c r="D69" s="5"/>
      <c r="E69" s="5" t="s">
        <v>55</v>
      </c>
      <c r="F69" s="5" t="s">
        <v>219</v>
      </c>
      <c r="G69" s="5" t="s">
        <v>50</v>
      </c>
      <c r="H69" s="5" t="s">
        <v>57</v>
      </c>
      <c r="I69" s="5" t="s">
        <v>51</v>
      </c>
      <c r="J69" s="5" t="n">
        <v>13</v>
      </c>
      <c r="K69" s="5" t="n">
        <v>0.3</v>
      </c>
      <c r="L69" s="5" t="n">
        <v>0.05</v>
      </c>
      <c r="M69" s="6" t="b">
        <f aca="false">TRUE()</f>
        <v>1</v>
      </c>
      <c r="N69" s="5"/>
    </row>
    <row r="70" customFormat="false" ht="15" hidden="false" customHeight="false" outlineLevel="0" collapsed="false">
      <c r="A70" s="7" t="s">
        <v>220</v>
      </c>
      <c r="B70" s="8" t="s">
        <v>211</v>
      </c>
      <c r="C70" s="8" t="s">
        <v>221</v>
      </c>
      <c r="D70" s="8"/>
      <c r="E70" s="8" t="s">
        <v>55</v>
      </c>
      <c r="F70" s="8" t="s">
        <v>222</v>
      </c>
      <c r="G70" s="8" t="s">
        <v>50</v>
      </c>
      <c r="H70" s="8" t="s">
        <v>57</v>
      </c>
      <c r="I70" s="8" t="s">
        <v>223</v>
      </c>
      <c r="J70" s="8" t="n">
        <v>11</v>
      </c>
      <c r="K70" s="8" t="n">
        <v>0.25</v>
      </c>
      <c r="L70" s="8" t="n">
        <v>0.05</v>
      </c>
      <c r="M70" s="9" t="b">
        <f aca="false">TRUE()</f>
        <v>1</v>
      </c>
      <c r="N70" s="8"/>
    </row>
    <row r="71" customFormat="false" ht="15" hidden="false" customHeight="false" outlineLevel="0" collapsed="false">
      <c r="A71" s="4" t="s">
        <v>224</v>
      </c>
      <c r="B71" s="5" t="s">
        <v>225</v>
      </c>
      <c r="C71" s="5" t="s">
        <v>226</v>
      </c>
      <c r="D71" s="5"/>
      <c r="E71" s="5" t="s">
        <v>19</v>
      </c>
      <c r="F71" s="5" t="s">
        <v>123</v>
      </c>
      <c r="G71" s="5" t="s">
        <v>83</v>
      </c>
      <c r="H71" s="5" t="s">
        <v>57</v>
      </c>
      <c r="I71" s="5" t="s">
        <v>51</v>
      </c>
      <c r="J71" s="5" t="n">
        <v>16.5</v>
      </c>
      <c r="K71" s="5" t="n">
        <v>0.45</v>
      </c>
      <c r="L71" s="5" t="n">
        <v>0.05</v>
      </c>
      <c r="M71" s="6" t="b">
        <f aca="false">TRUE()</f>
        <v>1</v>
      </c>
      <c r="N71" s="5"/>
    </row>
    <row r="72" customFormat="false" ht="15" hidden="false" customHeight="false" outlineLevel="0" collapsed="false">
      <c r="A72" s="7" t="s">
        <v>227</v>
      </c>
      <c r="B72" s="8" t="s">
        <v>225</v>
      </c>
      <c r="C72" s="8" t="s">
        <v>228</v>
      </c>
      <c r="D72" s="8"/>
      <c r="E72" s="8" t="s">
        <v>19</v>
      </c>
      <c r="F72" s="8" t="s">
        <v>123</v>
      </c>
      <c r="G72" s="8" t="s">
        <v>83</v>
      </c>
      <c r="H72" s="8" t="s">
        <v>57</v>
      </c>
      <c r="I72" s="8" t="s">
        <v>51</v>
      </c>
      <c r="J72" s="8" t="n">
        <v>16.5</v>
      </c>
      <c r="K72" s="8" t="n">
        <v>0.35</v>
      </c>
      <c r="L72" s="8" t="n">
        <v>0.05</v>
      </c>
      <c r="M72" s="9" t="b">
        <f aca="false">TRUE()</f>
        <v>1</v>
      </c>
      <c r="N72" s="8"/>
    </row>
    <row r="73" customFormat="false" ht="15" hidden="false" customHeight="false" outlineLevel="0" collapsed="false">
      <c r="A73" s="4" t="s">
        <v>229</v>
      </c>
      <c r="B73" s="5" t="s">
        <v>225</v>
      </c>
      <c r="C73" s="5" t="s">
        <v>230</v>
      </c>
      <c r="D73" s="5"/>
      <c r="E73" s="5" t="s">
        <v>19</v>
      </c>
      <c r="F73" s="5" t="s">
        <v>46</v>
      </c>
      <c r="G73" s="5" t="s">
        <v>83</v>
      </c>
      <c r="H73" s="5" t="s">
        <v>57</v>
      </c>
      <c r="I73" s="5" t="s">
        <v>51</v>
      </c>
      <c r="J73" s="5" t="n">
        <v>15</v>
      </c>
      <c r="K73" s="5" t="n">
        <v>0.4</v>
      </c>
      <c r="L73" s="5" t="n">
        <v>0.05</v>
      </c>
      <c r="M73" s="6" t="b">
        <f aca="false">TRUE()</f>
        <v>1</v>
      </c>
      <c r="N73" s="5"/>
    </row>
    <row r="74" customFormat="false" ht="15" hidden="false" customHeight="false" outlineLevel="0" collapsed="false">
      <c r="A74" s="7" t="s">
        <v>231</v>
      </c>
      <c r="B74" s="8" t="s">
        <v>225</v>
      </c>
      <c r="C74" s="8" t="s">
        <v>232</v>
      </c>
      <c r="D74" s="8"/>
      <c r="E74" s="8" t="s">
        <v>19</v>
      </c>
      <c r="F74" s="8" t="s">
        <v>46</v>
      </c>
      <c r="G74" s="8" t="s">
        <v>83</v>
      </c>
      <c r="H74" s="8" t="s">
        <v>57</v>
      </c>
      <c r="I74" s="8" t="s">
        <v>51</v>
      </c>
      <c r="J74" s="8" t="n">
        <v>15</v>
      </c>
      <c r="K74" s="8" t="n">
        <v>0.35</v>
      </c>
      <c r="L74" s="8" t="n">
        <v>0.05</v>
      </c>
      <c r="M74" s="9" t="b">
        <f aca="false">TRUE()</f>
        <v>1</v>
      </c>
      <c r="N74" s="8"/>
    </row>
    <row r="75" customFormat="false" ht="15" hidden="false" customHeight="false" outlineLevel="0" collapsed="false">
      <c r="A75" s="4" t="s">
        <v>233</v>
      </c>
      <c r="B75" s="5" t="s">
        <v>225</v>
      </c>
      <c r="C75" s="5" t="s">
        <v>234</v>
      </c>
      <c r="D75" s="5"/>
      <c r="E75" s="5" t="s">
        <v>19</v>
      </c>
      <c r="F75" s="5" t="s">
        <v>46</v>
      </c>
      <c r="G75" s="5" t="s">
        <v>83</v>
      </c>
      <c r="H75" s="5" t="s">
        <v>57</v>
      </c>
      <c r="I75" s="5" t="s">
        <v>51</v>
      </c>
      <c r="J75" s="5" t="n">
        <v>15</v>
      </c>
      <c r="K75" s="5" t="n">
        <v>0.3</v>
      </c>
      <c r="L75" s="5" t="n">
        <v>0.05</v>
      </c>
      <c r="M75" s="6" t="b">
        <f aca="false">TRUE()</f>
        <v>1</v>
      </c>
      <c r="N75" s="5"/>
    </row>
    <row r="76" customFormat="false" ht="15" hidden="false" customHeight="false" outlineLevel="0" collapsed="false">
      <c r="A76" s="7" t="s">
        <v>235</v>
      </c>
      <c r="B76" s="8" t="s">
        <v>225</v>
      </c>
      <c r="C76" s="8" t="s">
        <v>236</v>
      </c>
      <c r="D76" s="8"/>
      <c r="E76" s="8" t="s">
        <v>19</v>
      </c>
      <c r="F76" s="8" t="s">
        <v>237</v>
      </c>
      <c r="G76" s="8" t="s">
        <v>83</v>
      </c>
      <c r="H76" s="8" t="s">
        <v>57</v>
      </c>
      <c r="I76" s="8" t="s">
        <v>51</v>
      </c>
      <c r="J76" s="8" t="n">
        <v>13</v>
      </c>
      <c r="K76" s="8" t="n">
        <v>0.35</v>
      </c>
      <c r="L76" s="8" t="n">
        <v>0.05</v>
      </c>
      <c r="M76" s="9" t="b">
        <f aca="false">TRUE()</f>
        <v>1</v>
      </c>
      <c r="N76" s="8"/>
    </row>
    <row r="77" customFormat="false" ht="15" hidden="false" customHeight="false" outlineLevel="0" collapsed="false">
      <c r="A77" s="4" t="s">
        <v>238</v>
      </c>
      <c r="B77" s="5" t="s">
        <v>225</v>
      </c>
      <c r="C77" s="5" t="s">
        <v>239</v>
      </c>
      <c r="D77" s="5"/>
      <c r="E77" s="5" t="s">
        <v>19</v>
      </c>
      <c r="F77" s="5" t="s">
        <v>237</v>
      </c>
      <c r="G77" s="5" t="s">
        <v>83</v>
      </c>
      <c r="H77" s="5" t="s">
        <v>57</v>
      </c>
      <c r="I77" s="5" t="s">
        <v>51</v>
      </c>
      <c r="J77" s="5" t="n">
        <v>13</v>
      </c>
      <c r="K77" s="5" t="n">
        <v>0.3</v>
      </c>
      <c r="L77" s="5" t="n">
        <v>0.05</v>
      </c>
      <c r="M77" s="6" t="b">
        <f aca="false">TRUE()</f>
        <v>1</v>
      </c>
      <c r="N77" s="5"/>
    </row>
    <row r="78" customFormat="false" ht="15" hidden="false" customHeight="false" outlineLevel="0" collapsed="false">
      <c r="A78" s="7" t="s">
        <v>240</v>
      </c>
      <c r="B78" s="8" t="s">
        <v>225</v>
      </c>
      <c r="C78" s="8" t="s">
        <v>241</v>
      </c>
      <c r="D78" s="8"/>
      <c r="E78" s="8" t="s">
        <v>19</v>
      </c>
      <c r="F78" s="8" t="s">
        <v>237</v>
      </c>
      <c r="G78" s="8" t="s">
        <v>83</v>
      </c>
      <c r="H78" s="8" t="s">
        <v>57</v>
      </c>
      <c r="I78" s="8" t="s">
        <v>51</v>
      </c>
      <c r="J78" s="8" t="n">
        <v>13</v>
      </c>
      <c r="K78" s="8" t="n">
        <v>0.25</v>
      </c>
      <c r="L78" s="8" t="n">
        <v>0.05</v>
      </c>
      <c r="M78" s="9" t="b">
        <f aca="false">TRUE()</f>
        <v>1</v>
      </c>
      <c r="N78" s="8"/>
    </row>
    <row r="79" customFormat="false" ht="15" hidden="false" customHeight="false" outlineLevel="0" collapsed="false">
      <c r="A79" s="4" t="s">
        <v>242</v>
      </c>
      <c r="B79" s="5" t="s">
        <v>225</v>
      </c>
      <c r="C79" s="5" t="s">
        <v>243</v>
      </c>
      <c r="D79" s="5"/>
      <c r="E79" s="5" t="s">
        <v>19</v>
      </c>
      <c r="F79" s="5" t="s">
        <v>60</v>
      </c>
      <c r="G79" s="5" t="s">
        <v>83</v>
      </c>
      <c r="H79" s="5" t="s">
        <v>57</v>
      </c>
      <c r="I79" s="5" t="s">
        <v>51</v>
      </c>
      <c r="J79" s="5" t="n">
        <v>11</v>
      </c>
      <c r="K79" s="5" t="n">
        <v>0.3</v>
      </c>
      <c r="L79" s="5" t="n">
        <v>0.05</v>
      </c>
      <c r="M79" s="6" t="b">
        <f aca="false">TRUE()</f>
        <v>1</v>
      </c>
      <c r="N79" s="5"/>
    </row>
    <row r="80" customFormat="false" ht="15" hidden="false" customHeight="false" outlineLevel="0" collapsed="false">
      <c r="A80" s="7" t="s">
        <v>244</v>
      </c>
      <c r="B80" s="8" t="s">
        <v>225</v>
      </c>
      <c r="C80" s="8" t="s">
        <v>245</v>
      </c>
      <c r="D80" s="8"/>
      <c r="E80" s="8" t="s">
        <v>19</v>
      </c>
      <c r="F80" s="8" t="s">
        <v>60</v>
      </c>
      <c r="G80" s="8" t="s">
        <v>83</v>
      </c>
      <c r="H80" s="8" t="s">
        <v>57</v>
      </c>
      <c r="I80" s="8" t="s">
        <v>51</v>
      </c>
      <c r="J80" s="8" t="n">
        <v>11</v>
      </c>
      <c r="K80" s="8" t="n">
        <v>0.25</v>
      </c>
      <c r="L80" s="8" t="n">
        <v>0.05</v>
      </c>
      <c r="M80" s="9" t="b">
        <f aca="false">TRUE()</f>
        <v>1</v>
      </c>
      <c r="N80" s="8"/>
    </row>
    <row r="81" customFormat="false" ht="15" hidden="false" customHeight="false" outlineLevel="0" collapsed="false">
      <c r="A81" s="4" t="s">
        <v>246</v>
      </c>
      <c r="B81" s="5" t="s">
        <v>225</v>
      </c>
      <c r="C81" s="5" t="s">
        <v>247</v>
      </c>
      <c r="D81" s="5"/>
      <c r="E81" s="5" t="s">
        <v>19</v>
      </c>
      <c r="F81" s="5" t="s">
        <v>60</v>
      </c>
      <c r="G81" s="5" t="s">
        <v>83</v>
      </c>
      <c r="H81" s="5" t="s">
        <v>57</v>
      </c>
      <c r="I81" s="5" t="s">
        <v>51</v>
      </c>
      <c r="J81" s="5" t="n">
        <v>11</v>
      </c>
      <c r="K81" s="5" t="n">
        <v>0.2</v>
      </c>
      <c r="L81" s="5" t="n">
        <v>0.05</v>
      </c>
      <c r="M81" s="6" t="b">
        <f aca="false">TRUE()</f>
        <v>1</v>
      </c>
      <c r="N81" s="5"/>
    </row>
    <row r="82" customFormat="false" ht="15" hidden="false" customHeight="false" outlineLevel="0" collapsed="false">
      <c r="A82" s="7" t="s">
        <v>248</v>
      </c>
      <c r="B82" s="8" t="s">
        <v>225</v>
      </c>
      <c r="C82" s="8" t="s">
        <v>249</v>
      </c>
      <c r="D82" s="8"/>
      <c r="E82" s="8" t="s">
        <v>55</v>
      </c>
      <c r="F82" s="8" t="s">
        <v>250</v>
      </c>
      <c r="G82" s="8" t="s">
        <v>83</v>
      </c>
      <c r="H82" s="8" t="s">
        <v>174</v>
      </c>
      <c r="I82" s="8" t="s">
        <v>223</v>
      </c>
      <c r="J82" s="8" t="n">
        <v>9.5</v>
      </c>
      <c r="K82" s="8" t="n">
        <v>0.18</v>
      </c>
      <c r="L82" s="8" t="n">
        <v>0.05</v>
      </c>
      <c r="M82" s="9" t="b">
        <f aca="false">TRUE()</f>
        <v>1</v>
      </c>
      <c r="N82" s="8"/>
    </row>
    <row r="83" customFormat="false" ht="22.35" hidden="false" customHeight="false" outlineLevel="0" collapsed="false">
      <c r="A83" s="4" t="s">
        <v>251</v>
      </c>
      <c r="B83" s="5" t="s">
        <v>252</v>
      </c>
      <c r="C83" s="5" t="s">
        <v>253</v>
      </c>
      <c r="D83" s="5"/>
      <c r="E83" s="5" t="s">
        <v>27</v>
      </c>
      <c r="F83" s="5" t="s">
        <v>20</v>
      </c>
      <c r="G83" s="5" t="s">
        <v>83</v>
      </c>
      <c r="H83" s="5" t="s">
        <v>57</v>
      </c>
      <c r="I83" s="5" t="s">
        <v>51</v>
      </c>
      <c r="J83" s="5" t="n">
        <v>22</v>
      </c>
      <c r="K83" s="5" t="n">
        <v>0.45</v>
      </c>
      <c r="L83" s="5" t="n">
        <v>0.05</v>
      </c>
      <c r="M83" s="6" t="b">
        <f aca="false">TRUE()</f>
        <v>1</v>
      </c>
      <c r="N83" s="5"/>
    </row>
    <row r="84" customFormat="false" ht="22.35" hidden="false" customHeight="false" outlineLevel="0" collapsed="false">
      <c r="A84" s="7" t="s">
        <v>254</v>
      </c>
      <c r="B84" s="8" t="s">
        <v>252</v>
      </c>
      <c r="C84" s="8" t="s">
        <v>255</v>
      </c>
      <c r="D84" s="8"/>
      <c r="E84" s="8" t="s">
        <v>27</v>
      </c>
      <c r="F84" s="8" t="s">
        <v>20</v>
      </c>
      <c r="G84" s="8" t="s">
        <v>83</v>
      </c>
      <c r="H84" s="8" t="s">
        <v>57</v>
      </c>
      <c r="I84" s="8" t="s">
        <v>115</v>
      </c>
      <c r="J84" s="8" t="n">
        <v>22</v>
      </c>
      <c r="K84" s="8" t="n">
        <v>0.35</v>
      </c>
      <c r="L84" s="8" t="n">
        <v>0.05</v>
      </c>
      <c r="M84" s="9" t="b">
        <f aca="false">TRUE()</f>
        <v>1</v>
      </c>
      <c r="N84" s="8"/>
    </row>
    <row r="85" customFormat="false" ht="22.35" hidden="false" customHeight="false" outlineLevel="0" collapsed="false">
      <c r="A85" s="4" t="s">
        <v>256</v>
      </c>
      <c r="B85" s="5" t="s">
        <v>252</v>
      </c>
      <c r="C85" s="5" t="s">
        <v>257</v>
      </c>
      <c r="D85" s="5"/>
      <c r="E85" s="5" t="s">
        <v>27</v>
      </c>
      <c r="F85" s="5" t="s">
        <v>123</v>
      </c>
      <c r="G85" s="5" t="s">
        <v>83</v>
      </c>
      <c r="H85" s="5" t="s">
        <v>174</v>
      </c>
      <c r="I85" s="5" t="s">
        <v>223</v>
      </c>
      <c r="J85" s="5" t="n">
        <v>16</v>
      </c>
      <c r="K85" s="5" t="n">
        <v>0.35</v>
      </c>
      <c r="L85" s="5" t="n">
        <v>0.05</v>
      </c>
      <c r="M85" s="6" t="b">
        <f aca="false">TRUE()</f>
        <v>1</v>
      </c>
      <c r="N85" s="5"/>
    </row>
    <row r="86" customFormat="false" ht="22.35" hidden="false" customHeight="false" outlineLevel="0" collapsed="false">
      <c r="A86" s="7" t="s">
        <v>258</v>
      </c>
      <c r="B86" s="8" t="s">
        <v>252</v>
      </c>
      <c r="C86" s="8" t="s">
        <v>259</v>
      </c>
      <c r="D86" s="8"/>
      <c r="E86" s="8" t="s">
        <v>27</v>
      </c>
      <c r="F86" s="8" t="s">
        <v>56</v>
      </c>
      <c r="G86" s="8" t="s">
        <v>83</v>
      </c>
      <c r="H86" s="8" t="s">
        <v>174</v>
      </c>
      <c r="I86" s="8" t="s">
        <v>223</v>
      </c>
      <c r="J86" s="8" t="n">
        <v>14</v>
      </c>
      <c r="K86" s="8" t="n">
        <v>0.3</v>
      </c>
      <c r="L86" s="8" t="n">
        <v>0.05</v>
      </c>
      <c r="M86" s="9" t="b">
        <f aca="false">TRUE()</f>
        <v>1</v>
      </c>
      <c r="N86" s="8"/>
    </row>
    <row r="87" customFormat="false" ht="22.35" hidden="false" customHeight="false" outlineLevel="0" collapsed="false">
      <c r="A87" s="4" t="s">
        <v>260</v>
      </c>
      <c r="B87" s="5" t="s">
        <v>252</v>
      </c>
      <c r="C87" s="5" t="s">
        <v>261</v>
      </c>
      <c r="D87" s="5"/>
      <c r="E87" s="5" t="s">
        <v>27</v>
      </c>
      <c r="F87" s="5" t="s">
        <v>60</v>
      </c>
      <c r="G87" s="5" t="s">
        <v>83</v>
      </c>
      <c r="H87" s="5" t="s">
        <v>174</v>
      </c>
      <c r="I87" s="5" t="s">
        <v>223</v>
      </c>
      <c r="J87" s="5" t="n">
        <v>11</v>
      </c>
      <c r="K87" s="5" t="n">
        <v>0.25</v>
      </c>
      <c r="L87" s="5" t="n">
        <v>0.05</v>
      </c>
      <c r="M87" s="6" t="b">
        <f aca="false">TRUE()</f>
        <v>1</v>
      </c>
      <c r="N87" s="5"/>
    </row>
    <row r="88" customFormat="false" ht="15" hidden="false" customHeight="false" outlineLevel="0" collapsed="false">
      <c r="A88" s="7" t="s">
        <v>262</v>
      </c>
      <c r="B88" s="8" t="s">
        <v>263</v>
      </c>
      <c r="C88" s="8" t="s">
        <v>264</v>
      </c>
      <c r="D88" s="8" t="s">
        <v>265</v>
      </c>
      <c r="E88" s="8" t="s">
        <v>19</v>
      </c>
      <c r="F88" s="8" t="s">
        <v>42</v>
      </c>
      <c r="G88" s="8" t="s">
        <v>83</v>
      </c>
      <c r="H88" s="8" t="s">
        <v>22</v>
      </c>
      <c r="I88" s="8" t="s">
        <v>51</v>
      </c>
      <c r="J88" s="8" t="n">
        <v>15.5</v>
      </c>
      <c r="K88" s="8" t="n">
        <v>0.55</v>
      </c>
      <c r="L88" s="8" t="n">
        <v>0.05</v>
      </c>
      <c r="M88" s="9" t="b">
        <f aca="false">TRUE()</f>
        <v>1</v>
      </c>
      <c r="N88" s="8" t="s">
        <v>266</v>
      </c>
    </row>
    <row r="89" customFormat="false" ht="15" hidden="false" customHeight="false" outlineLevel="0" collapsed="false">
      <c r="A89" s="4" t="s">
        <v>267</v>
      </c>
      <c r="B89" s="5" t="s">
        <v>263</v>
      </c>
      <c r="C89" s="5" t="s">
        <v>268</v>
      </c>
      <c r="D89" s="5" t="s">
        <v>268</v>
      </c>
      <c r="E89" s="5" t="s">
        <v>19</v>
      </c>
      <c r="F89" s="5" t="s">
        <v>46</v>
      </c>
      <c r="G89" s="5" t="s">
        <v>83</v>
      </c>
      <c r="H89" s="5" t="s">
        <v>174</v>
      </c>
      <c r="I89" s="5" t="s">
        <v>51</v>
      </c>
      <c r="J89" s="5" t="n">
        <v>15</v>
      </c>
      <c r="K89" s="5" t="n">
        <v>0.45</v>
      </c>
      <c r="L89" s="5" t="n">
        <v>0.05</v>
      </c>
      <c r="M89" s="6" t="b">
        <f aca="false">TRUE()</f>
        <v>1</v>
      </c>
      <c r="N89" s="5"/>
    </row>
    <row r="90" customFormat="false" ht="15" hidden="false" customHeight="false" outlineLevel="0" collapsed="false">
      <c r="A90" s="7" t="s">
        <v>269</v>
      </c>
      <c r="B90" s="8" t="s">
        <v>263</v>
      </c>
      <c r="C90" s="8" t="s">
        <v>270</v>
      </c>
      <c r="D90" s="8" t="s">
        <v>270</v>
      </c>
      <c r="E90" s="8" t="s">
        <v>19</v>
      </c>
      <c r="F90" s="8" t="s">
        <v>237</v>
      </c>
      <c r="G90" s="8" t="s">
        <v>83</v>
      </c>
      <c r="H90" s="8" t="s">
        <v>22</v>
      </c>
      <c r="I90" s="8" t="s">
        <v>51</v>
      </c>
      <c r="J90" s="8" t="n">
        <v>13</v>
      </c>
      <c r="K90" s="8" t="n">
        <v>0.5</v>
      </c>
      <c r="L90" s="8" t="n">
        <v>0.05</v>
      </c>
      <c r="M90" s="9" t="b">
        <f aca="false">TRUE()</f>
        <v>1</v>
      </c>
      <c r="N90" s="8"/>
    </row>
    <row r="91" customFormat="false" ht="15" hidden="false" customHeight="false" outlineLevel="0" collapsed="false">
      <c r="A91" s="4" t="s">
        <v>271</v>
      </c>
      <c r="B91" s="5" t="s">
        <v>263</v>
      </c>
      <c r="C91" s="5" t="s">
        <v>272</v>
      </c>
      <c r="D91" s="5" t="s">
        <v>273</v>
      </c>
      <c r="E91" s="5" t="s">
        <v>19</v>
      </c>
      <c r="F91" s="5" t="s">
        <v>274</v>
      </c>
      <c r="G91" s="5" t="s">
        <v>83</v>
      </c>
      <c r="H91" s="5" t="s">
        <v>174</v>
      </c>
      <c r="I91" s="5" t="s">
        <v>51</v>
      </c>
      <c r="J91" s="5" t="n">
        <v>12.5</v>
      </c>
      <c r="K91" s="5" t="n">
        <v>0.4</v>
      </c>
      <c r="L91" s="5" t="n">
        <v>0.05</v>
      </c>
      <c r="M91" s="6" t="b">
        <f aca="false">TRUE()</f>
        <v>1</v>
      </c>
      <c r="N91" s="5"/>
    </row>
    <row r="92" customFormat="false" ht="15" hidden="false" customHeight="false" outlineLevel="0" collapsed="false">
      <c r="A92" s="7" t="s">
        <v>275</v>
      </c>
      <c r="B92" s="8" t="s">
        <v>263</v>
      </c>
      <c r="C92" s="8" t="s">
        <v>276</v>
      </c>
      <c r="D92" s="8" t="s">
        <v>276</v>
      </c>
      <c r="E92" s="8" t="s">
        <v>19</v>
      </c>
      <c r="F92" s="8" t="s">
        <v>60</v>
      </c>
      <c r="G92" s="8" t="s">
        <v>83</v>
      </c>
      <c r="H92" s="8" t="s">
        <v>174</v>
      </c>
      <c r="I92" s="8" t="s">
        <v>223</v>
      </c>
      <c r="J92" s="8" t="n">
        <v>11</v>
      </c>
      <c r="K92" s="8" t="n">
        <v>0.35</v>
      </c>
      <c r="L92" s="8" t="n">
        <v>0.05</v>
      </c>
      <c r="M92" s="9" t="b">
        <f aca="false">TRUE()</f>
        <v>1</v>
      </c>
      <c r="N92" s="8"/>
    </row>
    <row r="93" customFormat="false" ht="15" hidden="false" customHeight="false" outlineLevel="0" collapsed="false">
      <c r="A93" s="4" t="s">
        <v>277</v>
      </c>
      <c r="B93" s="5" t="s">
        <v>263</v>
      </c>
      <c r="C93" s="5" t="s">
        <v>278</v>
      </c>
      <c r="D93" s="5" t="s">
        <v>278</v>
      </c>
      <c r="E93" s="5" t="s">
        <v>19</v>
      </c>
      <c r="F93" s="5" t="s">
        <v>60</v>
      </c>
      <c r="G93" s="5" t="s">
        <v>83</v>
      </c>
      <c r="H93" s="5" t="s">
        <v>174</v>
      </c>
      <c r="I93" s="5" t="s">
        <v>223</v>
      </c>
      <c r="J93" s="5" t="n">
        <v>11</v>
      </c>
      <c r="K93" s="5" t="n">
        <v>0.3</v>
      </c>
      <c r="L93" s="5" t="n">
        <v>0.05</v>
      </c>
      <c r="M93" s="6" t="b">
        <f aca="false">TRUE()</f>
        <v>1</v>
      </c>
      <c r="N93" s="5" t="s">
        <v>279</v>
      </c>
    </row>
    <row r="94" customFormat="false" ht="15" hidden="false" customHeight="false" outlineLevel="0" collapsed="false">
      <c r="A94" s="7" t="s">
        <v>280</v>
      </c>
      <c r="B94" s="8" t="s">
        <v>263</v>
      </c>
      <c r="C94" s="8" t="s">
        <v>281</v>
      </c>
      <c r="D94" s="8" t="s">
        <v>281</v>
      </c>
      <c r="E94" s="8" t="s">
        <v>27</v>
      </c>
      <c r="F94" s="8" t="s">
        <v>42</v>
      </c>
      <c r="G94" s="8" t="s">
        <v>83</v>
      </c>
      <c r="H94" s="8" t="s">
        <v>22</v>
      </c>
      <c r="I94" s="8" t="s">
        <v>51</v>
      </c>
      <c r="J94" s="8" t="n">
        <v>15.5</v>
      </c>
      <c r="K94" s="8" t="n">
        <v>0.5</v>
      </c>
      <c r="L94" s="8" t="n">
        <v>0.05</v>
      </c>
      <c r="M94" s="9" t="b">
        <f aca="false">TRUE()</f>
        <v>1</v>
      </c>
      <c r="N94" s="8"/>
    </row>
    <row r="95" customFormat="false" ht="15" hidden="false" customHeight="false" outlineLevel="0" collapsed="false">
      <c r="A95" s="4" t="s">
        <v>282</v>
      </c>
      <c r="B95" s="5" t="s">
        <v>263</v>
      </c>
      <c r="C95" s="5" t="s">
        <v>283</v>
      </c>
      <c r="D95" s="5" t="s">
        <v>283</v>
      </c>
      <c r="E95" s="5" t="s">
        <v>27</v>
      </c>
      <c r="F95" s="5" t="s">
        <v>237</v>
      </c>
      <c r="G95" s="5" t="s">
        <v>83</v>
      </c>
      <c r="H95" s="5" t="s">
        <v>174</v>
      </c>
      <c r="I95" s="5" t="s">
        <v>51</v>
      </c>
      <c r="J95" s="5" t="n">
        <v>13</v>
      </c>
      <c r="K95" s="5" t="n">
        <v>0.4</v>
      </c>
      <c r="L95" s="5" t="n">
        <v>0.05</v>
      </c>
      <c r="M95" s="6" t="b">
        <f aca="false">TRUE()</f>
        <v>1</v>
      </c>
      <c r="N95" s="5"/>
    </row>
    <row r="96" customFormat="false" ht="15" hidden="false" customHeight="false" outlineLevel="0" collapsed="false">
      <c r="A96" s="7" t="s">
        <v>284</v>
      </c>
      <c r="B96" s="8" t="s">
        <v>263</v>
      </c>
      <c r="C96" s="8" t="s">
        <v>285</v>
      </c>
      <c r="D96" s="8" t="s">
        <v>285</v>
      </c>
      <c r="E96" s="8" t="s">
        <v>27</v>
      </c>
      <c r="F96" s="8" t="s">
        <v>60</v>
      </c>
      <c r="G96" s="8" t="s">
        <v>83</v>
      </c>
      <c r="H96" s="8" t="s">
        <v>174</v>
      </c>
      <c r="I96" s="8" t="s">
        <v>223</v>
      </c>
      <c r="J96" s="8" t="n">
        <v>11</v>
      </c>
      <c r="K96" s="8" t="n">
        <v>0.3</v>
      </c>
      <c r="L96" s="8" t="n">
        <v>0.05</v>
      </c>
      <c r="M96" s="9" t="b">
        <f aca="false">TRUE()</f>
        <v>1</v>
      </c>
      <c r="N96" s="8"/>
    </row>
    <row r="97" customFormat="false" ht="15" hidden="false" customHeight="false" outlineLevel="0" collapsed="false">
      <c r="A97" s="4" t="s">
        <v>286</v>
      </c>
      <c r="B97" s="5" t="s">
        <v>287</v>
      </c>
      <c r="C97" s="5" t="s">
        <v>288</v>
      </c>
      <c r="D97" s="5"/>
      <c r="E97" s="5" t="s">
        <v>55</v>
      </c>
      <c r="F97" s="5" t="s">
        <v>289</v>
      </c>
      <c r="G97" s="5" t="s">
        <v>93</v>
      </c>
      <c r="H97" s="5" t="s">
        <v>174</v>
      </c>
      <c r="I97" s="5" t="s">
        <v>223</v>
      </c>
      <c r="J97" s="5" t="n">
        <v>8</v>
      </c>
      <c r="K97" s="5" t="n">
        <v>0.12</v>
      </c>
      <c r="L97" s="5" t="n">
        <v>0.05</v>
      </c>
      <c r="M97" s="6" t="b">
        <f aca="false">TRUE()</f>
        <v>1</v>
      </c>
      <c r="N97" s="5" t="s">
        <v>290</v>
      </c>
    </row>
    <row r="98" customFormat="false" ht="15" hidden="false" customHeight="false" outlineLevel="0" collapsed="false">
      <c r="A98" s="7" t="s">
        <v>291</v>
      </c>
      <c r="B98" s="8" t="s">
        <v>287</v>
      </c>
      <c r="C98" s="8" t="s">
        <v>292</v>
      </c>
      <c r="D98" s="8"/>
      <c r="E98" s="8" t="s">
        <v>55</v>
      </c>
      <c r="F98" s="8" t="s">
        <v>57</v>
      </c>
      <c r="G98" s="8" t="s">
        <v>93</v>
      </c>
      <c r="H98" s="8" t="s">
        <v>57</v>
      </c>
      <c r="I98" s="8" t="s">
        <v>223</v>
      </c>
      <c r="J98" s="8" t="n">
        <v>10</v>
      </c>
      <c r="K98" s="8" t="n">
        <v>0.12</v>
      </c>
      <c r="L98" s="8" t="n">
        <v>0.05</v>
      </c>
      <c r="M98" s="9" t="b">
        <f aca="false">TRUE()</f>
        <v>1</v>
      </c>
      <c r="N98" s="8"/>
    </row>
    <row r="99" customFormat="false" ht="15" hidden="false" customHeight="false" outlineLevel="0" collapsed="false">
      <c r="A99" s="4" t="s">
        <v>293</v>
      </c>
      <c r="B99" s="5" t="s">
        <v>287</v>
      </c>
      <c r="C99" s="5" t="s">
        <v>294</v>
      </c>
      <c r="D99" s="5"/>
      <c r="E99" s="5" t="s">
        <v>55</v>
      </c>
      <c r="F99" s="5" t="s">
        <v>21</v>
      </c>
      <c r="G99" s="5" t="s">
        <v>21</v>
      </c>
      <c r="H99" s="5" t="s">
        <v>21</v>
      </c>
      <c r="I99" s="5" t="s">
        <v>21</v>
      </c>
      <c r="J99" s="5" t="n">
        <v>12</v>
      </c>
      <c r="K99" s="5" t="n">
        <v>0.1</v>
      </c>
      <c r="L99" s="5" t="n">
        <v>0.05</v>
      </c>
      <c r="M99" s="6" t="b">
        <f aca="false">TRUE()</f>
        <v>1</v>
      </c>
      <c r="N99" s="5" t="s">
        <v>295</v>
      </c>
    </row>
  </sheetData>
  <autoFilter ref="A4:N99"/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7" min="3" style="0" width="10"/>
    <col collapsed="false" customWidth="true" hidden="false" outlineLevel="0" max="8" min="8" style="0" width="30"/>
  </cols>
  <sheetData>
    <row r="1" customFormat="false" ht="24" hidden="false" customHeight="true" outlineLevel="0" collapsed="false">
      <c r="A1" s="1" t="s">
        <v>296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297</v>
      </c>
      <c r="B2" s="2"/>
      <c r="C2" s="2"/>
      <c r="D2" s="2"/>
      <c r="E2" s="2"/>
      <c r="F2" s="2"/>
      <c r="G2" s="2"/>
      <c r="H2" s="2"/>
    </row>
    <row r="4" customFormat="false" ht="32.8" hidden="false" customHeight="false" outlineLevel="0" collapsed="false">
      <c r="A4" s="3" t="s">
        <v>298</v>
      </c>
      <c r="B4" s="3" t="s">
        <v>299</v>
      </c>
      <c r="C4" s="3" t="s">
        <v>300</v>
      </c>
      <c r="D4" s="3" t="s">
        <v>301</v>
      </c>
      <c r="E4" s="3" t="s">
        <v>302</v>
      </c>
      <c r="F4" s="3" t="s">
        <v>303</v>
      </c>
      <c r="G4" s="3" t="s">
        <v>304</v>
      </c>
      <c r="H4" s="3" t="s">
        <v>15</v>
      </c>
    </row>
    <row r="5" customFormat="false" ht="22.35" hidden="false" customHeight="false" outlineLevel="0" collapsed="false">
      <c r="A5" s="4" t="s">
        <v>305</v>
      </c>
      <c r="B5" s="5" t="s">
        <v>306</v>
      </c>
      <c r="C5" s="5" t="n">
        <v>0.35</v>
      </c>
      <c r="D5" s="5" t="n">
        <v>0.25</v>
      </c>
      <c r="E5" s="5" t="n">
        <v>0.2</v>
      </c>
      <c r="F5" s="5" t="n">
        <v>0.1</v>
      </c>
      <c r="G5" s="5" t="n">
        <v>0.1</v>
      </c>
      <c r="H5" s="5" t="s">
        <v>307</v>
      </c>
    </row>
    <row r="6" customFormat="false" ht="22.35" hidden="false" customHeight="false" outlineLevel="0" collapsed="false">
      <c r="A6" s="7" t="s">
        <v>308</v>
      </c>
      <c r="B6" s="8" t="s">
        <v>309</v>
      </c>
      <c r="C6" s="8" t="n">
        <v>0.3</v>
      </c>
      <c r="D6" s="8" t="n">
        <v>0.2</v>
      </c>
      <c r="E6" s="8" t="n">
        <v>0.2</v>
      </c>
      <c r="F6" s="8" t="n">
        <v>0.2</v>
      </c>
      <c r="G6" s="8" t="n">
        <v>0.1</v>
      </c>
      <c r="H6" s="8" t="s">
        <v>310</v>
      </c>
    </row>
    <row r="7" customFormat="false" ht="15" hidden="false" customHeight="false" outlineLevel="0" collapsed="false">
      <c r="A7" s="4" t="s">
        <v>311</v>
      </c>
      <c r="B7" s="5" t="s">
        <v>312</v>
      </c>
      <c r="C7" s="5" t="n">
        <v>0.35</v>
      </c>
      <c r="D7" s="5" t="n">
        <v>0.25</v>
      </c>
      <c r="E7" s="5" t="n">
        <v>0.2</v>
      </c>
      <c r="F7" s="5" t="n">
        <v>0.1</v>
      </c>
      <c r="G7" s="5" t="n">
        <v>0.1</v>
      </c>
      <c r="H7" s="5" t="s">
        <v>313</v>
      </c>
    </row>
    <row r="8" customFormat="false" ht="22.35" hidden="false" customHeight="false" outlineLevel="0" collapsed="false">
      <c r="A8" s="7" t="s">
        <v>314</v>
      </c>
      <c r="B8" s="8" t="s">
        <v>315</v>
      </c>
      <c r="C8" s="8" t="n">
        <v>0.35</v>
      </c>
      <c r="D8" s="8" t="n">
        <v>0.2</v>
      </c>
      <c r="E8" s="8" t="n">
        <v>0.2</v>
      </c>
      <c r="F8" s="8" t="n">
        <v>0.15</v>
      </c>
      <c r="G8" s="8" t="n">
        <v>0.1</v>
      </c>
      <c r="H8" s="8" t="s">
        <v>316</v>
      </c>
    </row>
    <row r="9" customFormat="false" ht="15" hidden="false" customHeight="false" outlineLevel="0" collapsed="false">
      <c r="A9" s="4" t="s">
        <v>317</v>
      </c>
      <c r="B9" s="5" t="s">
        <v>318</v>
      </c>
      <c r="C9" s="5" t="n">
        <v>0.3</v>
      </c>
      <c r="D9" s="5" t="n">
        <v>0.25</v>
      </c>
      <c r="E9" s="5" t="n">
        <v>0.2</v>
      </c>
      <c r="F9" s="5" t="n">
        <v>0.15</v>
      </c>
      <c r="G9" s="5" t="n">
        <v>0.1</v>
      </c>
      <c r="H9" s="5" t="s">
        <v>319</v>
      </c>
    </row>
  </sheetData>
  <autoFilter ref="A4:H9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10"/>
    <col collapsed="false" customWidth="true" hidden="false" outlineLevel="0" max="6" min="5" style="0" width="8"/>
    <col collapsed="false" customWidth="true" hidden="false" outlineLevel="0" max="7" min="7" style="0" width="34"/>
  </cols>
  <sheetData>
    <row r="1" customFormat="false" ht="24" hidden="false" customHeight="true" outlineLevel="0" collapsed="false">
      <c r="A1" s="1" t="s">
        <v>320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321</v>
      </c>
      <c r="B2" s="2"/>
      <c r="C2" s="2"/>
      <c r="D2" s="2"/>
      <c r="E2" s="2"/>
      <c r="F2" s="2"/>
      <c r="G2" s="2"/>
    </row>
    <row r="4" customFormat="false" ht="32.8" hidden="false" customHeight="false" outlineLevel="0" collapsed="false">
      <c r="A4" s="3" t="s">
        <v>322</v>
      </c>
      <c r="B4" s="3" t="s">
        <v>323</v>
      </c>
      <c r="C4" s="3" t="s">
        <v>324</v>
      </c>
      <c r="D4" s="3" t="s">
        <v>325</v>
      </c>
      <c r="E4" s="3" t="s">
        <v>326</v>
      </c>
      <c r="F4" s="3" t="s">
        <v>327</v>
      </c>
      <c r="G4" s="3" t="s">
        <v>15</v>
      </c>
    </row>
    <row r="5" customFormat="false" ht="15" hidden="false" customHeight="false" outlineLevel="0" collapsed="false">
      <c r="A5" s="4" t="s">
        <v>328</v>
      </c>
      <c r="B5" s="5" t="s">
        <v>329</v>
      </c>
      <c r="C5" s="5" t="s">
        <v>330</v>
      </c>
      <c r="D5" s="5" t="s">
        <v>331</v>
      </c>
      <c r="E5" s="5" t="s">
        <v>332</v>
      </c>
      <c r="F5" s="6" t="b">
        <f aca="false">TRUE()</f>
        <v>1</v>
      </c>
      <c r="G5" s="5" t="s">
        <v>333</v>
      </c>
    </row>
    <row r="6" customFormat="false" ht="15" hidden="false" customHeight="false" outlineLevel="0" collapsed="false">
      <c r="A6" s="7" t="s">
        <v>334</v>
      </c>
      <c r="B6" s="8" t="s">
        <v>335</v>
      </c>
      <c r="C6" s="8" t="s">
        <v>330</v>
      </c>
      <c r="D6" s="8" t="s">
        <v>336</v>
      </c>
      <c r="E6" s="8" t="s">
        <v>337</v>
      </c>
      <c r="F6" s="9" t="b">
        <f aca="false">TRUE()</f>
        <v>1</v>
      </c>
      <c r="G6" s="8" t="s">
        <v>338</v>
      </c>
    </row>
    <row r="7" customFormat="false" ht="15" hidden="false" customHeight="false" outlineLevel="0" collapsed="false">
      <c r="A7" s="4" t="s">
        <v>339</v>
      </c>
      <c r="B7" s="5" t="s">
        <v>340</v>
      </c>
      <c r="C7" s="5" t="s">
        <v>330</v>
      </c>
      <c r="D7" s="5" t="s">
        <v>336</v>
      </c>
      <c r="E7" s="5" t="s">
        <v>341</v>
      </c>
      <c r="F7" s="6" t="b">
        <f aca="false">TRUE()</f>
        <v>1</v>
      </c>
      <c r="G7" s="5" t="s">
        <v>342</v>
      </c>
    </row>
    <row r="8" customFormat="false" ht="15" hidden="false" customHeight="false" outlineLevel="0" collapsed="false">
      <c r="A8" s="7" t="s">
        <v>343</v>
      </c>
      <c r="B8" s="8" t="s">
        <v>344</v>
      </c>
      <c r="C8" s="8" t="s">
        <v>330</v>
      </c>
      <c r="D8" s="8" t="s">
        <v>336</v>
      </c>
      <c r="E8" s="8" t="s">
        <v>345</v>
      </c>
      <c r="F8" s="9" t="b">
        <f aca="false">TRUE()</f>
        <v>1</v>
      </c>
      <c r="G8" s="8" t="s">
        <v>346</v>
      </c>
    </row>
    <row r="9" customFormat="false" ht="15" hidden="false" customHeight="false" outlineLevel="0" collapsed="false">
      <c r="A9" s="4" t="s">
        <v>347</v>
      </c>
      <c r="B9" s="5" t="s">
        <v>348</v>
      </c>
      <c r="C9" s="5" t="s">
        <v>349</v>
      </c>
      <c r="D9" s="5" t="s">
        <v>350</v>
      </c>
      <c r="E9" s="5" t="s">
        <v>337</v>
      </c>
      <c r="F9" s="6" t="b">
        <f aca="false">TRUE()</f>
        <v>1</v>
      </c>
      <c r="G9" s="5" t="s">
        <v>351</v>
      </c>
    </row>
    <row r="10" customFormat="false" ht="15" hidden="false" customHeight="false" outlineLevel="0" collapsed="false">
      <c r="A10" s="7" t="s">
        <v>352</v>
      </c>
      <c r="B10" s="8" t="s">
        <v>353</v>
      </c>
      <c r="C10" s="8" t="s">
        <v>354</v>
      </c>
      <c r="D10" s="8" t="s">
        <v>350</v>
      </c>
      <c r="E10" s="8" t="s">
        <v>21</v>
      </c>
      <c r="F10" s="9" t="b">
        <f aca="false">FALSE()</f>
        <v>0</v>
      </c>
      <c r="G10" s="8" t="s">
        <v>355</v>
      </c>
    </row>
    <row r="11" customFormat="false" ht="15" hidden="false" customHeight="false" outlineLevel="0" collapsed="false">
      <c r="A11" s="4" t="s">
        <v>356</v>
      </c>
      <c r="B11" s="5" t="s">
        <v>357</v>
      </c>
      <c r="C11" s="5" t="s">
        <v>358</v>
      </c>
      <c r="D11" s="5" t="s">
        <v>359</v>
      </c>
      <c r="E11" s="5" t="s">
        <v>21</v>
      </c>
      <c r="F11" s="6" t="b">
        <f aca="false">FALSE()</f>
        <v>0</v>
      </c>
      <c r="G11" s="5" t="s">
        <v>360</v>
      </c>
    </row>
  </sheetData>
  <autoFilter ref="A4:G11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0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40"/>
  </cols>
  <sheetData>
    <row r="1" customFormat="false" ht="24" hidden="false" customHeight="true" outlineLevel="0" collapsed="false">
      <c r="A1" s="1" t="s">
        <v>361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362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363</v>
      </c>
      <c r="B4" s="3" t="s">
        <v>364</v>
      </c>
      <c r="C4" s="3" t="s">
        <v>365</v>
      </c>
      <c r="D4" s="3" t="s">
        <v>366</v>
      </c>
      <c r="E4" s="3" t="s">
        <v>367</v>
      </c>
      <c r="F4" s="3" t="s">
        <v>368</v>
      </c>
    </row>
    <row r="5" customFormat="false" ht="15" hidden="false" customHeight="false" outlineLevel="0" collapsed="false">
      <c r="A5" s="4" t="s">
        <v>369</v>
      </c>
      <c r="B5" s="5" t="n">
        <v>0.05</v>
      </c>
      <c r="C5" s="5" t="s">
        <v>370</v>
      </c>
      <c r="D5" s="5" t="s">
        <v>371</v>
      </c>
      <c r="E5" s="5" t="s">
        <v>372</v>
      </c>
      <c r="F5" s="5" t="s">
        <v>373</v>
      </c>
    </row>
    <row r="6" customFormat="false" ht="15" hidden="false" customHeight="false" outlineLevel="0" collapsed="false">
      <c r="A6" s="7" t="s">
        <v>374</v>
      </c>
      <c r="B6" s="8" t="n">
        <v>0.8</v>
      </c>
      <c r="C6" s="8" t="s">
        <v>370</v>
      </c>
      <c r="D6" s="8" t="s">
        <v>371</v>
      </c>
      <c r="E6" s="8" t="s">
        <v>375</v>
      </c>
      <c r="F6" s="8" t="s">
        <v>376</v>
      </c>
    </row>
    <row r="7" customFormat="false" ht="15" hidden="false" customHeight="false" outlineLevel="0" collapsed="false">
      <c r="A7" s="4" t="s">
        <v>377</v>
      </c>
      <c r="B7" s="5" t="n">
        <v>1.5</v>
      </c>
      <c r="C7" s="5" t="s">
        <v>370</v>
      </c>
      <c r="D7" s="5" t="s">
        <v>371</v>
      </c>
      <c r="E7" s="5" t="s">
        <v>375</v>
      </c>
      <c r="F7" s="5" t="s">
        <v>378</v>
      </c>
    </row>
    <row r="8" customFormat="false" ht="15" hidden="false" customHeight="false" outlineLevel="0" collapsed="false">
      <c r="A8" s="7" t="s">
        <v>379</v>
      </c>
      <c r="B8" s="8" t="n">
        <v>0.75</v>
      </c>
      <c r="C8" s="8" t="s">
        <v>370</v>
      </c>
      <c r="D8" s="8" t="s">
        <v>371</v>
      </c>
      <c r="E8" s="8" t="s">
        <v>380</v>
      </c>
      <c r="F8" s="8" t="s">
        <v>381</v>
      </c>
    </row>
    <row r="9" customFormat="false" ht="15" hidden="false" customHeight="false" outlineLevel="0" collapsed="false">
      <c r="A9" s="4" t="s">
        <v>382</v>
      </c>
      <c r="B9" s="5" t="n">
        <v>0.25</v>
      </c>
      <c r="C9" s="5" t="s">
        <v>370</v>
      </c>
      <c r="D9" s="5" t="s">
        <v>371</v>
      </c>
      <c r="E9" s="5" t="s">
        <v>380</v>
      </c>
      <c r="F9" s="5" t="s">
        <v>383</v>
      </c>
    </row>
    <row r="10" customFormat="false" ht="15" hidden="false" customHeight="false" outlineLevel="0" collapsed="false">
      <c r="A10" s="7" t="s">
        <v>384</v>
      </c>
      <c r="B10" s="8" t="n">
        <v>1.5</v>
      </c>
      <c r="C10" s="8" t="s">
        <v>370</v>
      </c>
      <c r="D10" s="8" t="s">
        <v>371</v>
      </c>
      <c r="E10" s="8" t="s">
        <v>385</v>
      </c>
      <c r="F10" s="8" t="s">
        <v>386</v>
      </c>
    </row>
    <row r="11" customFormat="false" ht="15" hidden="false" customHeight="false" outlineLevel="0" collapsed="false">
      <c r="A11" s="4" t="s">
        <v>387</v>
      </c>
      <c r="B11" s="5" t="n">
        <v>-0.5</v>
      </c>
      <c r="C11" s="5" t="s">
        <v>370</v>
      </c>
      <c r="D11" s="5" t="s">
        <v>371</v>
      </c>
      <c r="E11" s="5" t="s">
        <v>380</v>
      </c>
      <c r="F11" s="5" t="s">
        <v>388</v>
      </c>
    </row>
    <row r="12" customFormat="false" ht="15" hidden="false" customHeight="false" outlineLevel="0" collapsed="false">
      <c r="A12" s="7" t="s">
        <v>389</v>
      </c>
      <c r="B12" s="8" t="n">
        <v>0.5</v>
      </c>
      <c r="C12" s="8" t="s">
        <v>370</v>
      </c>
      <c r="D12" s="8" t="s">
        <v>371</v>
      </c>
      <c r="E12" s="8" t="s">
        <v>380</v>
      </c>
      <c r="F12" s="8" t="s">
        <v>390</v>
      </c>
    </row>
    <row r="13" customFormat="false" ht="15" hidden="false" customHeight="false" outlineLevel="0" collapsed="false">
      <c r="A13" s="4" t="s">
        <v>391</v>
      </c>
      <c r="B13" s="5" t="n">
        <v>5</v>
      </c>
      <c r="C13" s="5" t="s">
        <v>370</v>
      </c>
      <c r="D13" s="5" t="s">
        <v>392</v>
      </c>
      <c r="E13" s="5" t="s">
        <v>393</v>
      </c>
      <c r="F13" s="5" t="s">
        <v>394</v>
      </c>
    </row>
    <row r="14" customFormat="false" ht="15" hidden="false" customHeight="false" outlineLevel="0" collapsed="false">
      <c r="A14" s="7" t="s">
        <v>395</v>
      </c>
      <c r="B14" s="8" t="n">
        <v>120</v>
      </c>
      <c r="C14" s="8" t="s">
        <v>396</v>
      </c>
      <c r="D14" s="8" t="s">
        <v>397</v>
      </c>
      <c r="E14" s="8" t="s">
        <v>398</v>
      </c>
      <c r="F14" s="8" t="s">
        <v>399</v>
      </c>
    </row>
    <row r="15" customFormat="false" ht="15" hidden="false" customHeight="false" outlineLevel="0" collapsed="false">
      <c r="A15" s="4" t="s">
        <v>400</v>
      </c>
      <c r="B15" s="5" t="s">
        <v>101</v>
      </c>
      <c r="C15" s="5" t="s">
        <v>401</v>
      </c>
      <c r="D15" s="5" t="s">
        <v>402</v>
      </c>
      <c r="E15" s="5" t="s">
        <v>385</v>
      </c>
      <c r="F15" s="5" t="s">
        <v>403</v>
      </c>
    </row>
  </sheetData>
  <autoFilter ref="A4:F15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4" min="3" style="0" width="30"/>
    <col collapsed="false" customWidth="true" hidden="false" outlineLevel="0" max="5" min="5" style="0" width="14"/>
  </cols>
  <sheetData>
    <row r="1" customFormat="false" ht="24" hidden="false" customHeight="true" outlineLevel="0" collapsed="false">
      <c r="A1" s="1" t="s">
        <v>404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405</v>
      </c>
      <c r="B2" s="2"/>
      <c r="C2" s="2"/>
      <c r="D2" s="2"/>
      <c r="E2" s="2"/>
    </row>
    <row r="4" customFormat="false" ht="22.35" hidden="false" customHeight="false" outlineLevel="0" collapsed="false">
      <c r="A4" s="3" t="s">
        <v>406</v>
      </c>
      <c r="B4" s="3" t="s">
        <v>4</v>
      </c>
      <c r="C4" s="3" t="s">
        <v>407</v>
      </c>
      <c r="D4" s="3" t="s">
        <v>408</v>
      </c>
      <c r="E4" s="3" t="s">
        <v>409</v>
      </c>
    </row>
    <row r="5" customFormat="false" ht="15" hidden="false" customHeight="false" outlineLevel="0" collapsed="false">
      <c r="A5" s="4" t="s">
        <v>128</v>
      </c>
      <c r="B5" s="5" t="s">
        <v>129</v>
      </c>
      <c r="C5" s="5" t="s">
        <v>410</v>
      </c>
      <c r="D5" s="5" t="s">
        <v>411</v>
      </c>
      <c r="E5" s="5" t="s">
        <v>412</v>
      </c>
    </row>
    <row r="6" customFormat="false" ht="15" hidden="false" customHeight="false" outlineLevel="0" collapsed="false">
      <c r="A6" s="7" t="s">
        <v>131</v>
      </c>
      <c r="B6" s="8" t="s">
        <v>132</v>
      </c>
      <c r="C6" s="8" t="s">
        <v>413</v>
      </c>
      <c r="D6" s="8" t="s">
        <v>411</v>
      </c>
      <c r="E6" s="8" t="s">
        <v>412</v>
      </c>
    </row>
    <row r="7" customFormat="false" ht="15" hidden="false" customHeight="false" outlineLevel="0" collapsed="false">
      <c r="A7" s="4" t="s">
        <v>120</v>
      </c>
      <c r="B7" s="5" t="s">
        <v>414</v>
      </c>
      <c r="C7" s="5" t="s">
        <v>415</v>
      </c>
      <c r="D7" s="5" t="s">
        <v>416</v>
      </c>
      <c r="E7" s="5" t="s">
        <v>412</v>
      </c>
    </row>
    <row r="8" customFormat="false" ht="15" hidden="false" customHeight="false" outlineLevel="0" collapsed="false">
      <c r="A8" s="7" t="s">
        <v>125</v>
      </c>
      <c r="B8" s="8" t="s">
        <v>417</v>
      </c>
      <c r="C8" s="8" t="s">
        <v>418</v>
      </c>
      <c r="D8" s="8" t="s">
        <v>416</v>
      </c>
      <c r="E8" s="8" t="s">
        <v>412</v>
      </c>
    </row>
    <row r="9" customFormat="false" ht="15" hidden="false" customHeight="false" outlineLevel="0" collapsed="false">
      <c r="A9" s="4" t="s">
        <v>149</v>
      </c>
      <c r="B9" s="5" t="s">
        <v>150</v>
      </c>
      <c r="C9" s="5" t="s">
        <v>419</v>
      </c>
      <c r="D9" s="5" t="s">
        <v>416</v>
      </c>
      <c r="E9" s="5" t="s">
        <v>412</v>
      </c>
    </row>
    <row r="10" customFormat="false" ht="15" hidden="false" customHeight="false" outlineLevel="0" collapsed="false">
      <c r="A10" s="7" t="s">
        <v>420</v>
      </c>
      <c r="B10" s="8" t="s">
        <v>421</v>
      </c>
      <c r="C10" s="8" t="s">
        <v>422</v>
      </c>
      <c r="D10" s="8" t="s">
        <v>416</v>
      </c>
      <c r="E10" s="8" t="s">
        <v>412</v>
      </c>
    </row>
    <row r="11" customFormat="false" ht="15" hidden="false" customHeight="false" outlineLevel="0" collapsed="false">
      <c r="A11" s="4" t="s">
        <v>134</v>
      </c>
      <c r="B11" s="5" t="s">
        <v>423</v>
      </c>
      <c r="C11" s="5" t="s">
        <v>424</v>
      </c>
      <c r="D11" s="5" t="s">
        <v>425</v>
      </c>
      <c r="E11" s="5" t="s">
        <v>412</v>
      </c>
    </row>
    <row r="12" customFormat="false" ht="15" hidden="false" customHeight="false" outlineLevel="0" collapsed="false">
      <c r="A12" s="7" t="s">
        <v>426</v>
      </c>
      <c r="B12" s="8" t="s">
        <v>427</v>
      </c>
      <c r="C12" s="8" t="s">
        <v>428</v>
      </c>
      <c r="D12" s="8" t="s">
        <v>429</v>
      </c>
      <c r="E12" s="8" t="s">
        <v>412</v>
      </c>
    </row>
  </sheetData>
  <autoFilter ref="A4:E12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22"/>
    <col collapsed="false" customWidth="true" hidden="false" outlineLevel="0" max="5" min="5" style="0" width="8"/>
  </cols>
  <sheetData>
    <row r="1" customFormat="false" ht="24" hidden="false" customHeight="true" outlineLevel="0" collapsed="false">
      <c r="A1" s="1" t="s">
        <v>430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431</v>
      </c>
      <c r="B2" s="2"/>
      <c r="C2" s="2"/>
      <c r="D2" s="2"/>
      <c r="E2" s="2"/>
    </row>
    <row r="4" customFormat="false" ht="43.25" hidden="false" customHeight="false" outlineLevel="0" collapsed="false">
      <c r="A4" s="3" t="s">
        <v>432</v>
      </c>
      <c r="B4" s="3" t="s">
        <v>433</v>
      </c>
      <c r="C4" s="3" t="s">
        <v>434</v>
      </c>
      <c r="D4" s="3" t="s">
        <v>435</v>
      </c>
      <c r="E4" s="3" t="s">
        <v>436</v>
      </c>
    </row>
    <row r="5" customFormat="false" ht="22.35" hidden="false" customHeight="false" outlineLevel="0" collapsed="false">
      <c r="A5" s="4" t="s">
        <v>437</v>
      </c>
      <c r="B5" s="5" t="s">
        <v>438</v>
      </c>
      <c r="C5" s="5" t="s">
        <v>439</v>
      </c>
      <c r="D5" s="5" t="s">
        <v>440</v>
      </c>
      <c r="E5" s="6" t="b">
        <f aca="false">TRUE()</f>
        <v>1</v>
      </c>
    </row>
    <row r="6" customFormat="false" ht="15" hidden="false" customHeight="false" outlineLevel="0" collapsed="false">
      <c r="A6" s="7" t="s">
        <v>441</v>
      </c>
      <c r="B6" s="8" t="s">
        <v>442</v>
      </c>
      <c r="C6" s="8" t="s">
        <v>443</v>
      </c>
      <c r="D6" s="8"/>
      <c r="E6" s="9" t="b">
        <f aca="false">FALSE()</f>
        <v>0</v>
      </c>
    </row>
    <row r="7" customFormat="false" ht="22.35" hidden="false" customHeight="false" outlineLevel="0" collapsed="false">
      <c r="A7" s="4" t="s">
        <v>444</v>
      </c>
      <c r="B7" s="5" t="s">
        <v>445</v>
      </c>
      <c r="C7" s="5" t="s">
        <v>446</v>
      </c>
      <c r="D7" s="5"/>
      <c r="E7" s="6" t="b">
        <f aca="false">FALSE()</f>
        <v>0</v>
      </c>
    </row>
    <row r="8" customFormat="false" ht="15" hidden="false" customHeight="false" outlineLevel="0" collapsed="false">
      <c r="A8" s="7" t="s">
        <v>447</v>
      </c>
      <c r="B8" s="8" t="s">
        <v>448</v>
      </c>
      <c r="C8" s="8" t="s">
        <v>449</v>
      </c>
      <c r="D8" s="8"/>
      <c r="E8" s="9" t="b">
        <f aca="false">FALSE()</f>
        <v>0</v>
      </c>
    </row>
    <row r="9" customFormat="false" ht="22.35" hidden="false" customHeight="false" outlineLevel="0" collapsed="false">
      <c r="A9" s="4" t="s">
        <v>450</v>
      </c>
      <c r="B9" s="5" t="s">
        <v>451</v>
      </c>
      <c r="C9" s="5" t="s">
        <v>452</v>
      </c>
      <c r="D9" s="5"/>
      <c r="E9" s="6" t="b">
        <f aca="false">FALSE()</f>
        <v>0</v>
      </c>
    </row>
    <row r="10" customFormat="false" ht="22.35" hidden="false" customHeight="false" outlineLevel="0" collapsed="false">
      <c r="A10" s="7" t="s">
        <v>453</v>
      </c>
      <c r="B10" s="8" t="s">
        <v>454</v>
      </c>
      <c r="C10" s="8" t="s">
        <v>455</v>
      </c>
      <c r="D10" s="8"/>
      <c r="E10" s="9" t="b">
        <f aca="false">FALSE()</f>
        <v>0</v>
      </c>
    </row>
    <row r="11" customFormat="false" ht="22.35" hidden="false" customHeight="false" outlineLevel="0" collapsed="false">
      <c r="A11" s="4" t="s">
        <v>456</v>
      </c>
      <c r="B11" s="5" t="s">
        <v>457</v>
      </c>
      <c r="C11" s="5" t="s">
        <v>458</v>
      </c>
      <c r="D11" s="5"/>
      <c r="E11" s="6" t="b">
        <f aca="false">FALSE()</f>
        <v>0</v>
      </c>
    </row>
    <row r="12" customFormat="false" ht="22.35" hidden="false" customHeight="false" outlineLevel="0" collapsed="false">
      <c r="A12" s="7" t="s">
        <v>459</v>
      </c>
      <c r="B12" s="8" t="s">
        <v>460</v>
      </c>
      <c r="C12" s="8" t="s">
        <v>461</v>
      </c>
      <c r="D12" s="8" t="s">
        <v>462</v>
      </c>
      <c r="E12" s="9" t="b">
        <f aca="false">TRUE()</f>
        <v>1</v>
      </c>
    </row>
  </sheetData>
  <autoFilter ref="A4:E12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34"/>
  </cols>
  <sheetData>
    <row r="1" customFormat="false" ht="24" hidden="false" customHeight="true" outlineLevel="0" collapsed="false">
      <c r="A1" s="1" t="s">
        <v>463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464</v>
      </c>
      <c r="B2" s="2"/>
      <c r="C2" s="2"/>
      <c r="D2" s="2"/>
      <c r="E2" s="2"/>
    </row>
    <row r="4" customFormat="false" ht="15" hidden="false" customHeight="false" outlineLevel="0" collapsed="false">
      <c r="A4" s="3" t="s">
        <v>465</v>
      </c>
      <c r="B4" s="3" t="s">
        <v>466</v>
      </c>
      <c r="C4" s="3" t="s">
        <v>467</v>
      </c>
      <c r="D4" s="3" t="s">
        <v>9</v>
      </c>
      <c r="E4" s="3" t="s">
        <v>468</v>
      </c>
    </row>
    <row r="5" customFormat="false" ht="15" hidden="false" customHeight="false" outlineLevel="0" collapsed="false">
      <c r="A5" s="4" t="s">
        <v>469</v>
      </c>
      <c r="B5" s="5" t="s">
        <v>470</v>
      </c>
      <c r="C5" s="5" t="s">
        <v>471</v>
      </c>
      <c r="D5" s="5" t="s">
        <v>472</v>
      </c>
      <c r="E5" s="5" t="s">
        <v>473</v>
      </c>
    </row>
    <row r="6" customFormat="false" ht="15" hidden="false" customHeight="false" outlineLevel="0" collapsed="false">
      <c r="A6" s="7" t="s">
        <v>474</v>
      </c>
      <c r="B6" s="8" t="s">
        <v>475</v>
      </c>
      <c r="C6" s="8" t="s">
        <v>476</v>
      </c>
      <c r="D6" s="8" t="s">
        <v>472</v>
      </c>
      <c r="E6" s="8" t="s">
        <v>477</v>
      </c>
    </row>
    <row r="7" customFormat="false" ht="15" hidden="false" customHeight="false" outlineLevel="0" collapsed="false">
      <c r="A7" s="4" t="s">
        <v>478</v>
      </c>
      <c r="B7" s="5" t="s">
        <v>479</v>
      </c>
      <c r="C7" s="5" t="s">
        <v>476</v>
      </c>
      <c r="D7" s="5" t="s">
        <v>472</v>
      </c>
      <c r="E7" s="5" t="s">
        <v>480</v>
      </c>
    </row>
    <row r="8" customFormat="false" ht="15" hidden="false" customHeight="false" outlineLevel="0" collapsed="false">
      <c r="A8" s="7" t="s">
        <v>481</v>
      </c>
      <c r="B8" s="8" t="s">
        <v>482</v>
      </c>
      <c r="C8" s="8" t="s">
        <v>476</v>
      </c>
      <c r="D8" s="8" t="s">
        <v>472</v>
      </c>
      <c r="E8" s="8" t="s">
        <v>483</v>
      </c>
    </row>
    <row r="9" customFormat="false" ht="15" hidden="false" customHeight="false" outlineLevel="0" collapsed="false">
      <c r="A9" s="4" t="s">
        <v>484</v>
      </c>
      <c r="B9" s="5" t="s">
        <v>485</v>
      </c>
      <c r="C9" s="5" t="s">
        <v>476</v>
      </c>
      <c r="D9" s="5" t="s">
        <v>472</v>
      </c>
      <c r="E9" s="5" t="s">
        <v>486</v>
      </c>
    </row>
    <row r="10" customFormat="false" ht="15" hidden="false" customHeight="false" outlineLevel="0" collapsed="false">
      <c r="A10" s="7" t="s">
        <v>487</v>
      </c>
      <c r="B10" s="8" t="s">
        <v>488</v>
      </c>
      <c r="C10" s="8" t="s">
        <v>476</v>
      </c>
      <c r="D10" s="8" t="s">
        <v>472</v>
      </c>
      <c r="E10" s="8" t="s">
        <v>477</v>
      </c>
    </row>
    <row r="11" customFormat="false" ht="15" hidden="false" customHeight="false" outlineLevel="0" collapsed="false">
      <c r="A11" s="4" t="s">
        <v>489</v>
      </c>
      <c r="B11" s="5" t="s">
        <v>490</v>
      </c>
      <c r="C11" s="5" t="s">
        <v>476</v>
      </c>
      <c r="D11" s="5" t="s">
        <v>472</v>
      </c>
      <c r="E11" s="5" t="s">
        <v>491</v>
      </c>
    </row>
    <row r="12" customFormat="false" ht="15" hidden="false" customHeight="false" outlineLevel="0" collapsed="false">
      <c r="A12" s="7" t="s">
        <v>492</v>
      </c>
      <c r="B12" s="8" t="s">
        <v>493</v>
      </c>
      <c r="C12" s="8" t="s">
        <v>494</v>
      </c>
      <c r="D12" s="8" t="s">
        <v>472</v>
      </c>
      <c r="E12" s="8" t="s">
        <v>495</v>
      </c>
    </row>
    <row r="13" customFormat="false" ht="15" hidden="false" customHeight="false" outlineLevel="0" collapsed="false">
      <c r="A13" s="4" t="s">
        <v>496</v>
      </c>
      <c r="B13" s="5" t="s">
        <v>497</v>
      </c>
      <c r="C13" s="5" t="s">
        <v>494</v>
      </c>
      <c r="D13" s="5" t="s">
        <v>472</v>
      </c>
      <c r="E13" s="5" t="s">
        <v>498</v>
      </c>
    </row>
    <row r="14" customFormat="false" ht="15" hidden="false" customHeight="false" outlineLevel="0" collapsed="false">
      <c r="A14" s="7" t="s">
        <v>499</v>
      </c>
      <c r="B14" s="8" t="s">
        <v>500</v>
      </c>
      <c r="C14" s="8" t="s">
        <v>476</v>
      </c>
      <c r="D14" s="8" t="s">
        <v>472</v>
      </c>
      <c r="E14" s="8" t="s">
        <v>477</v>
      </c>
    </row>
    <row r="15" customFormat="false" ht="15" hidden="false" customHeight="false" outlineLevel="0" collapsed="false">
      <c r="A15" s="4" t="s">
        <v>501</v>
      </c>
      <c r="B15" s="5" t="s">
        <v>502</v>
      </c>
      <c r="C15" s="5" t="s">
        <v>476</v>
      </c>
      <c r="D15" s="5" t="s">
        <v>503</v>
      </c>
      <c r="E15" s="5" t="s">
        <v>504</v>
      </c>
    </row>
    <row r="16" customFormat="false" ht="15" hidden="false" customHeight="false" outlineLevel="0" collapsed="false">
      <c r="A16" s="7" t="s">
        <v>505</v>
      </c>
      <c r="B16" s="8" t="s">
        <v>506</v>
      </c>
      <c r="C16" s="8" t="s">
        <v>494</v>
      </c>
      <c r="D16" s="8" t="s">
        <v>174</v>
      </c>
      <c r="E16" s="8" t="s">
        <v>507</v>
      </c>
    </row>
    <row r="17" customFormat="false" ht="15" hidden="false" customHeight="false" outlineLevel="0" collapsed="false">
      <c r="A17" s="4" t="s">
        <v>508</v>
      </c>
      <c r="B17" s="5" t="s">
        <v>509</v>
      </c>
      <c r="C17" s="5" t="s">
        <v>494</v>
      </c>
      <c r="D17" s="5" t="s">
        <v>472</v>
      </c>
      <c r="E17" s="5" t="s">
        <v>510</v>
      </c>
    </row>
    <row r="18" customFormat="false" ht="15" hidden="false" customHeight="false" outlineLevel="0" collapsed="false">
      <c r="A18" s="7" t="s">
        <v>511</v>
      </c>
      <c r="B18" s="8" t="s">
        <v>512</v>
      </c>
      <c r="C18" s="8" t="s">
        <v>494</v>
      </c>
      <c r="D18" s="8" t="s">
        <v>57</v>
      </c>
      <c r="E18" s="8" t="s">
        <v>513</v>
      </c>
    </row>
    <row r="19" customFormat="false" ht="15" hidden="false" customHeight="false" outlineLevel="0" collapsed="false">
      <c r="A19" s="4" t="s">
        <v>514</v>
      </c>
      <c r="B19" s="5" t="s">
        <v>515</v>
      </c>
      <c r="C19" s="5" t="s">
        <v>494</v>
      </c>
      <c r="D19" s="5" t="s">
        <v>57</v>
      </c>
      <c r="E19" s="5" t="s">
        <v>516</v>
      </c>
    </row>
    <row r="20" customFormat="false" ht="15" hidden="false" customHeight="false" outlineLevel="0" collapsed="false">
      <c r="A20" s="7" t="s">
        <v>517</v>
      </c>
      <c r="B20" s="8" t="s">
        <v>518</v>
      </c>
      <c r="C20" s="8" t="s">
        <v>519</v>
      </c>
      <c r="D20" s="8" t="s">
        <v>57</v>
      </c>
      <c r="E20" s="8" t="s">
        <v>516</v>
      </c>
    </row>
    <row r="21" customFormat="false" ht="15" hidden="false" customHeight="false" outlineLevel="0" collapsed="false">
      <c r="A21" s="4" t="s">
        <v>520</v>
      </c>
      <c r="B21" s="5" t="s">
        <v>521</v>
      </c>
      <c r="C21" s="5" t="s">
        <v>522</v>
      </c>
      <c r="D21" s="5" t="s">
        <v>57</v>
      </c>
      <c r="E21" s="5" t="s">
        <v>523</v>
      </c>
    </row>
    <row r="22" customFormat="false" ht="15" hidden="false" customHeight="false" outlineLevel="0" collapsed="false">
      <c r="A22" s="7" t="s">
        <v>524</v>
      </c>
      <c r="B22" s="8" t="s">
        <v>525</v>
      </c>
      <c r="C22" s="8" t="s">
        <v>494</v>
      </c>
      <c r="D22" s="8" t="s">
        <v>22</v>
      </c>
      <c r="E22" s="8" t="s">
        <v>526</v>
      </c>
    </row>
    <row r="23" customFormat="false" ht="15" hidden="false" customHeight="false" outlineLevel="0" collapsed="false">
      <c r="A23" s="4" t="s">
        <v>527</v>
      </c>
      <c r="B23" s="5" t="s">
        <v>528</v>
      </c>
      <c r="C23" s="5" t="s">
        <v>522</v>
      </c>
      <c r="D23" s="5" t="s">
        <v>174</v>
      </c>
      <c r="E23" s="5" t="s">
        <v>529</v>
      </c>
    </row>
  </sheetData>
  <autoFilter ref="A4:E23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2026-02-17T02:50:14Z</dcterms:created>
  <dc:creator>openpyxl</dc:creator>
  <dc:description/>
  <dc:language>en-US</dc:language>
  <cp:lastModifiedBy/>
  <dcterms:modified xsi:type="dcterms:W3CDTF">2026-02-17T02:50:14Z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